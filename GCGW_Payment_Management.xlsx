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etup" sheetId="1" state="visible" r:id="rId1"/>
    <sheet xmlns:r="http://schemas.openxmlformats.org/officeDocument/2006/relationships" name="All Payments" sheetId="2" state="visible" r:id="rId2"/>
    <sheet xmlns:r="http://schemas.openxmlformats.org/officeDocument/2006/relationships" name="Daily Summary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Project Summary" sheetId="5" state="visible" r:id="rId5"/>
    <sheet xmlns:r="http://schemas.openxmlformats.org/officeDocument/2006/relationships" name="Category Summary" sheetId="6" state="visible" r:id="rId6"/>
    <sheet xmlns:r="http://schemas.openxmlformats.org/officeDocument/2006/relationships" name="Needs Review" sheetId="7" state="visible" r:id="rId7"/>
    <sheet xmlns:r="http://schemas.openxmlformats.org/officeDocument/2006/relationships" name="Dashboard" sheetId="8" state="visible" r:id="rId8"/>
  </sheets>
  <definedNames/>
</workbook>
</file>

<file path=xl/styles.xml><?xml version="1.0" encoding="utf-8"?>
<styleSheet xmlns="http://schemas.openxmlformats.org/spreadsheetml/2006/main">
  <numFmts count="5">
    <numFmt numFmtId="164" formatCode="dd-mmm-yyyy"/>
    <numFmt numFmtId="165" formatCode="hh:mm AM/PM"/>
    <numFmt numFmtId="166" formatCode="₹#,##0.00"/>
    <numFmt numFmtId="167" formatCode="mmmm yyyy"/>
    <numFmt numFmtId="168" formatCode="0.0%"/>
  </numFmts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8"/>
    </font>
    <font>
      <name val="Carlito"/>
      <i val="1"/>
      <color rgb="FF6B7280"/>
      <sz val="11"/>
    </font>
  </fonts>
  <fills count="5">
    <fill>
      <patternFill/>
    </fill>
    <fill>
      <patternFill patternType="gray125"/>
    </fill>
    <fill>
      <patternFill patternType="solid">
        <fgColor rgb="FF0B1F3A"/>
      </patternFill>
    </fill>
    <fill>
      <patternFill patternType="solid">
        <fgColor rgb="FF173F6B"/>
      </patternFill>
    </fill>
    <fill>
      <patternFill patternType="solid">
        <fgColor rgb="FFF3F6FA"/>
      </patternFill>
    </fill>
  </fills>
  <borders count="2">
    <border/>
    <border/>
  </borders>
  <cellStyleXfs count="1">
    <xf numFmtId="0" fontId="0" fillId="0" borderId="1"/>
  </cellStyleXfs>
  <cellXfs count="52">
    <xf numFmtId="0" fontId="0" fillId="0" borderId="0" pivotButton="0" quotePrefix="0" xfId="0"/>
    <xf numFmtId="0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6" fontId="0" fillId="0" borderId="0" pivotButton="0" quotePrefix="0" xfId="0"/>
    <xf numFmtId="166" fontId="0" fillId="0" borderId="1" pivotButton="0" quotePrefix="0" xfId="0"/>
    <xf numFmtId="9" fontId="0" fillId="0" borderId="0" pivotButton="0" quotePrefix="0" xfId="0"/>
    <xf numFmtId="9" fontId="0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8" fontId="0" fillId="0" borderId="0" pivotButton="0" quotePrefix="0" xfId="0"/>
    <xf numFmtId="168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2" borderId="0" pivotButton="0" quotePrefix="0" xfId="0"/>
    <xf numFmtId="0" fontId="2" fillId="2" borderId="1" pivotButton="0" quotePrefix="0" xfId="0"/>
    <xf numFmtId="0" fontId="2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1" pivotButton="0" quotePrefix="0" xfId="0"/>
    <xf numFmtId="0" fontId="1" fillId="3" borderId="0" pivotButton="0" quotePrefix="0" xfId="0"/>
    <xf numFmtId="0" fontId="1" fillId="3" borderId="1" pivotButton="0" quotePrefix="0" xfId="0"/>
    <xf numFmtId="0" fontId="1" fillId="3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2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0" fontId="3" fillId="4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3" fillId="4" borderId="1" applyAlignment="1" pivotButton="0" quotePrefix="0" xfId="0">
      <alignment vertical="center" wrapText="1"/>
    </xf>
  </cellXfs>
  <cellStyles count="1">
    <cellStyle name="Normal" xfId="0"/>
  </cellStyles>
  <dxfs count="3"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Project-wise Payments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Payments</v>
          </tx>
          <spPr>
            <a:ln xmlns:a="http://schemas.openxmlformats.org/drawingml/2006/main">
              <a:prstDash val="solid"/>
            </a:ln>
          </spPr>
          <cat>
            <strRef>
              <f>'Dashboard'!$D$5:$D$9</f>
              <strCache>
                <ptCount val="0"/>
              </strCache>
            </strRef>
          </cat>
          <val>
            <numRef>
              <f>'Dashboard'!$E$5:$E$9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Total Paid (₹)</v>
          </tx>
          <spPr>
            <a:ln xmlns:a="http://schemas.openxmlformats.org/drawingml/2006/main">
              <a:prstDash val="solid"/>
            </a:ln>
          </spPr>
          <cat>
            <strRef>
              <f>'Dashboard'!$D$5:$D$9</f>
              <strCache>
                <ptCount val="0"/>
              </strCache>
            </strRef>
          </cat>
          <val>
            <numRef>
              <f>'Dashboard'!$F$5:$F$9</f>
              <numCache>
                <formatCode>₹#,##0.00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Payment Trend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No. of Payments</v>
          </tx>
          <spPr>
            <a:ln xmlns:a="http://schemas.openxmlformats.org/drawingml/2006/main">
              <a:prstDash val="solid"/>
            </a:ln>
          </spPr>
          <cat>
            <strRef>
              <f>'Monthly Summary'!$A$2:$A$13</f>
              <strCache>
                <ptCount val="0"/>
              </strCache>
            </strRef>
          </cat>
          <val>
            <numRef>
              <f>'Monthly Summary'!$B$2:$B$13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Total Paid (₹)</v>
          </tx>
          <spPr>
            <a:ln xmlns:a="http://schemas.openxmlformats.org/drawingml/2006/main">
              <a:prstDash val="solid"/>
            </a:ln>
          </spPr>
          <cat>
            <strRef>
              <f>'Monthly Summary'!$A$2:$A$13</f>
              <strCache>
                <ptCount val="0"/>
              </strCache>
            </strRef>
          </cat>
          <val>
            <numRef>
              <f>'Monthly Summary'!$C$2:$C$13</f>
              <numCache>
                <formatCode>₹#,##0.00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0</colOff>
      <row>12</row>
      <rowOff>0</rowOff>
    </from>
    <to>
      <col>4</col>
      <colOff>0</colOff>
      <row>29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0</colOff>
      <row>12</row>
      <rowOff>0</rowOff>
    </from>
    <to>
      <col>8</col>
      <colOff>0</colOff>
      <row>29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AllPaymentsTable" displayName="AllPaymentsTable" ref="A1:O501" headerRowCount="1" totalsRowCount="0" totalsRowShown="0">
  <tableColumns count="15">
    <tableColumn id="1" name="Transaction ID"/>
    <tableColumn id="2" name="Date"/>
    <tableColumn id="3" name="Time"/>
    <tableColumn id="4" name="Amount (₹)"/>
    <tableColumn id="5" name="Paid To"/>
    <tableColumn id="6" name="Project"/>
    <tableColumn id="7" name="Category"/>
    <tableColumn id="8" name="Purpose / Remark"/>
    <tableColumn id="9" name="Payment Mode"/>
    <tableColumn id="10" name="Bank / UPI App"/>
    <tableColumn id="11" name="Reference No."/>
    <tableColumn id="12" name="Screenshot File"/>
    <tableColumn id="13" name="AI Confidence %"/>
    <tableColumn id="14" name="Status"/>
    <tableColumn id="15" name="Duplicate 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8" customHeight="1">
      <c r="A1" s="34" t="inlineStr">
        <is>
          <t>Projects</t>
        </is>
      </c>
      <c r="B1" s="34" t="inlineStr">
        <is>
          <t>Categories</t>
        </is>
      </c>
      <c r="C1" s="34" t="inlineStr">
        <is>
          <t>Payment Modes</t>
        </is>
      </c>
      <c r="D1" s="34" t="inlineStr">
        <is>
          <t>Statuses</t>
        </is>
      </c>
      <c r="E1" s="35" t="n"/>
      <c r="F1" s="35" t="n"/>
      <c r="G1" s="35" t="n"/>
      <c r="H1" s="35" t="n"/>
      <c r="I1" s="35" t="n"/>
      <c r="J1" s="35" t="n"/>
      <c r="K1" s="35" t="n"/>
    </row>
    <row r="2">
      <c r="A2" t="inlineStr">
        <is>
          <t>Project A</t>
        </is>
      </c>
      <c r="B2" t="inlineStr">
        <is>
          <t>Material</t>
        </is>
      </c>
      <c r="C2" t="inlineStr">
        <is>
          <t>UPI</t>
        </is>
      </c>
      <c r="D2" t="inlineStr">
        <is>
          <t>Approved</t>
        </is>
      </c>
    </row>
    <row r="3">
      <c r="A3" t="inlineStr">
        <is>
          <t>Project B</t>
        </is>
      </c>
      <c r="B3" t="inlineStr">
        <is>
          <t>Labour</t>
        </is>
      </c>
      <c r="C3" t="inlineStr">
        <is>
          <t>Bank Transfer</t>
        </is>
      </c>
      <c r="D3" t="inlineStr">
        <is>
          <t>Needs Review</t>
        </is>
      </c>
    </row>
    <row r="4">
      <c r="A4" t="inlineStr">
        <is>
          <t>Project C</t>
        </is>
      </c>
      <c r="B4" t="inlineStr">
        <is>
          <t>Transport</t>
        </is>
      </c>
      <c r="C4" t="inlineStr">
        <is>
          <t>Cash</t>
        </is>
      </c>
      <c r="D4" t="inlineStr">
        <is>
          <t>Possible Duplicate</t>
        </is>
      </c>
    </row>
    <row r="5">
      <c r="A5" t="inlineStr">
        <is>
          <t>General / Office</t>
        </is>
      </c>
      <c r="B5" t="inlineStr">
        <is>
          <t>Fuel</t>
        </is>
      </c>
      <c r="C5" t="inlineStr">
        <is>
          <t>Cheque</t>
        </is>
      </c>
      <c r="D5" t="inlineStr">
        <is>
          <t>Rejected</t>
        </is>
      </c>
    </row>
    <row r="6">
      <c r="A6" t="inlineStr">
        <is>
          <t>Unassigned</t>
        </is>
      </c>
      <c r="B6" t="inlineStr">
        <is>
          <t>Machinery</t>
        </is>
      </c>
      <c r="C6" t="inlineStr">
        <is>
          <t>Card</t>
        </is>
      </c>
    </row>
    <row r="7">
      <c r="B7" t="inlineStr">
        <is>
          <t>Contractor / Subcontractor</t>
        </is>
      </c>
      <c r="C7" t="inlineStr">
        <is>
          <t>Other</t>
        </is>
      </c>
    </row>
    <row r="8">
      <c r="B8" t="inlineStr">
        <is>
          <t>Equipment</t>
        </is>
      </c>
    </row>
    <row r="9">
      <c r="B9" t="inlineStr">
        <is>
          <t>Site Expense</t>
        </is>
      </c>
    </row>
    <row r="10">
      <c r="B10" t="inlineStr">
        <is>
          <t>Office Expense</t>
        </is>
      </c>
    </row>
    <row r="11">
      <c r="B11" t="inlineStr">
        <is>
          <t>Advance Payment</t>
        </is>
      </c>
    </row>
    <row r="12">
      <c r="B12" t="inlineStr">
        <is>
          <t>Salary</t>
        </is>
      </c>
    </row>
    <row r="13">
      <c r="B13" t="inlineStr">
        <is>
          <t>Food / Accommodation</t>
        </is>
      </c>
    </row>
    <row r="14">
      <c r="B14" t="inlineStr">
        <is>
          <t>Other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24" customWidth="1" min="5" max="5"/>
    <col width="22" customWidth="1" min="6" max="6"/>
    <col width="24" customWidth="1" min="7" max="7"/>
    <col width="32" customWidth="1" min="8" max="8"/>
    <col width="18" customWidth="1" min="9" max="9"/>
    <col width="18" customWidth="1" min="10" max="10"/>
    <col width="22" customWidth="1" min="11" max="11"/>
    <col width="26" customWidth="1" min="12" max="12"/>
    <col width="16" customWidth="1" min="13" max="13"/>
    <col width="20" customWidth="1" min="14" max="14"/>
    <col width="34" customWidth="1" min="15" max="15"/>
  </cols>
  <sheetData>
    <row r="1" ht="28" customHeight="1">
      <c r="A1" s="20" t="inlineStr">
        <is>
          <t>Transaction ID</t>
        </is>
      </c>
      <c r="B1" s="20" t="inlineStr">
        <is>
          <t>Date</t>
        </is>
      </c>
      <c r="C1" s="20" t="inlineStr">
        <is>
          <t>Time</t>
        </is>
      </c>
      <c r="D1" s="20" t="inlineStr">
        <is>
          <t>Amount (₹)</t>
        </is>
      </c>
      <c r="E1" s="20" t="inlineStr">
        <is>
          <t>Paid To</t>
        </is>
      </c>
      <c r="F1" s="20" t="inlineStr">
        <is>
          <t>Project</t>
        </is>
      </c>
      <c r="G1" s="20" t="inlineStr">
        <is>
          <t>Category</t>
        </is>
      </c>
      <c r="H1" s="20" t="inlineStr">
        <is>
          <t>Purpose / Remark</t>
        </is>
      </c>
      <c r="I1" s="20" t="inlineStr">
        <is>
          <t>Payment Mode</t>
        </is>
      </c>
      <c r="J1" s="20" t="inlineStr">
        <is>
          <t>Bank / UPI App</t>
        </is>
      </c>
      <c r="K1" s="20" t="inlineStr">
        <is>
          <t>Reference No.</t>
        </is>
      </c>
      <c r="L1" s="20" t="inlineStr">
        <is>
          <t>Screenshot File</t>
        </is>
      </c>
      <c r="M1" s="20" t="inlineStr">
        <is>
          <t>AI Confidence %</t>
        </is>
      </c>
      <c r="N1" s="20" t="inlineStr">
        <is>
          <t>Status</t>
        </is>
      </c>
      <c r="O1" s="20" t="inlineStr">
        <is>
          <t>Duplicate Key</t>
        </is>
      </c>
    </row>
    <row r="2">
      <c r="B2" s="45" t="n"/>
      <c r="C2" s="46" t="n"/>
      <c r="D2" s="47" t="n"/>
      <c r="M2" s="48" t="n"/>
    </row>
    <row r="3">
      <c r="B3" s="45" t="n"/>
      <c r="C3" s="46" t="n"/>
      <c r="D3" s="47" t="n"/>
      <c r="M3" s="48" t="n"/>
    </row>
    <row r="4">
      <c r="B4" s="45" t="n"/>
      <c r="C4" s="46" t="n"/>
      <c r="D4" s="47" t="n"/>
      <c r="M4" s="48" t="n"/>
    </row>
    <row r="5">
      <c r="B5" s="45" t="n"/>
      <c r="C5" s="46" t="n"/>
      <c r="D5" s="47" t="n"/>
      <c r="M5" s="48" t="n"/>
      <c r="O5">
        <f>IF(OR(B5="",D5="",E5=""),"",TEXT(B5,"yyyymmdd")&amp;"|"&amp;TEXT(D5,"0.00")&amp;"|"&amp;LOWER(E5)&amp;"|"&amp;K5)</f>
        <v/>
      </c>
    </row>
    <row r="6">
      <c r="B6" s="45" t="n"/>
      <c r="C6" s="46" t="n"/>
      <c r="D6" s="47" t="n"/>
      <c r="M6" s="48" t="n"/>
      <c r="O6">
        <f>IF(OR(B6="",D6="",E6=""),"",TEXT(B6,"yyyymmdd")&amp;"|"&amp;TEXT(D6,"0.00")&amp;"|"&amp;LOWER(E6)&amp;"|"&amp;K6)</f>
        <v/>
      </c>
    </row>
    <row r="7">
      <c r="B7" s="45" t="n"/>
      <c r="C7" s="46" t="n"/>
      <c r="D7" s="47" t="n"/>
      <c r="M7" s="48" t="n"/>
      <c r="O7">
        <f>IF(OR(B7="",D7="",E7=""),"",TEXT(B7,"yyyymmdd")&amp;"|"&amp;TEXT(D7,"0.00")&amp;"|"&amp;LOWER(E7)&amp;"|"&amp;K7)</f>
        <v/>
      </c>
    </row>
    <row r="8">
      <c r="B8" s="45" t="n"/>
      <c r="C8" s="46" t="n"/>
      <c r="D8" s="47" t="n"/>
      <c r="M8" s="48" t="n"/>
      <c r="O8">
        <f>IF(OR(B8="",D8="",E8=""),"",TEXT(B8,"yyyymmdd")&amp;"|"&amp;TEXT(D8,"0.00")&amp;"|"&amp;LOWER(E8)&amp;"|"&amp;K8)</f>
        <v/>
      </c>
    </row>
    <row r="9">
      <c r="B9" s="45" t="n"/>
      <c r="C9" s="46" t="n"/>
      <c r="D9" s="47" t="n"/>
      <c r="M9" s="48" t="n"/>
      <c r="O9">
        <f>IF(OR(B9="",D9="",E9=""),"",TEXT(B9,"yyyymmdd")&amp;"|"&amp;TEXT(D9,"0.00")&amp;"|"&amp;LOWER(E9)&amp;"|"&amp;K9)</f>
        <v/>
      </c>
    </row>
    <row r="10">
      <c r="B10" s="45" t="n"/>
      <c r="C10" s="46" t="n"/>
      <c r="D10" s="47" t="n"/>
      <c r="M10" s="48" t="n"/>
      <c r="O10">
        <f>IF(OR(B10="",D10="",E10=""),"",TEXT(B10,"yyyymmdd")&amp;"|"&amp;TEXT(D10,"0.00")&amp;"|"&amp;LOWER(E10)&amp;"|"&amp;K10)</f>
        <v/>
      </c>
    </row>
    <row r="11">
      <c r="B11" s="45" t="n"/>
      <c r="C11" s="46" t="n"/>
      <c r="D11" s="47" t="n"/>
      <c r="M11" s="48" t="n"/>
      <c r="O11">
        <f>IF(OR(B11="",D11="",E11=""),"",TEXT(B11,"yyyymmdd")&amp;"|"&amp;TEXT(D11,"0.00")&amp;"|"&amp;LOWER(E11)&amp;"|"&amp;K11)</f>
        <v/>
      </c>
    </row>
    <row r="12">
      <c r="B12" s="45" t="n"/>
      <c r="C12" s="46" t="n"/>
      <c r="D12" s="47" t="n"/>
      <c r="M12" s="48" t="n"/>
      <c r="O12">
        <f>IF(OR(B12="",D12="",E12=""),"",TEXT(B12,"yyyymmdd")&amp;"|"&amp;TEXT(D12,"0.00")&amp;"|"&amp;LOWER(E12)&amp;"|"&amp;K12)</f>
        <v/>
      </c>
    </row>
    <row r="13">
      <c r="B13" s="45" t="n"/>
      <c r="C13" s="46" t="n"/>
      <c r="D13" s="47" t="n"/>
      <c r="M13" s="48" t="n"/>
      <c r="O13">
        <f>IF(OR(B13="",D13="",E13=""),"",TEXT(B13,"yyyymmdd")&amp;"|"&amp;TEXT(D13,"0.00")&amp;"|"&amp;LOWER(E13)&amp;"|"&amp;K13)</f>
        <v/>
      </c>
    </row>
    <row r="14">
      <c r="B14" s="45" t="n"/>
      <c r="C14" s="46" t="n"/>
      <c r="D14" s="47" t="n"/>
      <c r="M14" s="48" t="n"/>
      <c r="O14">
        <f>IF(OR(B14="",D14="",E14=""),"",TEXT(B14,"yyyymmdd")&amp;"|"&amp;TEXT(D14,"0.00")&amp;"|"&amp;LOWER(E14)&amp;"|"&amp;K14)</f>
        <v/>
      </c>
    </row>
    <row r="15">
      <c r="B15" s="45" t="n"/>
      <c r="C15" s="46" t="n"/>
      <c r="D15" s="47" t="n"/>
      <c r="M15" s="48" t="n"/>
      <c r="O15">
        <f>IF(OR(B15="",D15="",E15=""),"",TEXT(B15,"yyyymmdd")&amp;"|"&amp;TEXT(D15,"0.00")&amp;"|"&amp;LOWER(E15)&amp;"|"&amp;K15)</f>
        <v/>
      </c>
    </row>
    <row r="16">
      <c r="B16" s="45" t="n"/>
      <c r="C16" s="46" t="n"/>
      <c r="D16" s="47" t="n"/>
      <c r="M16" s="48" t="n"/>
      <c r="O16">
        <f>IF(OR(B16="",D16="",E16=""),"",TEXT(B16,"yyyymmdd")&amp;"|"&amp;TEXT(D16,"0.00")&amp;"|"&amp;LOWER(E16)&amp;"|"&amp;K16)</f>
        <v/>
      </c>
    </row>
    <row r="17">
      <c r="B17" s="45" t="n"/>
      <c r="C17" s="46" t="n"/>
      <c r="D17" s="47" t="n"/>
      <c r="M17" s="48" t="n"/>
      <c r="O17">
        <f>IF(OR(B17="",D17="",E17=""),"",TEXT(B17,"yyyymmdd")&amp;"|"&amp;TEXT(D17,"0.00")&amp;"|"&amp;LOWER(E17)&amp;"|"&amp;K17)</f>
        <v/>
      </c>
    </row>
    <row r="18">
      <c r="B18" s="45" t="n"/>
      <c r="C18" s="46" t="n"/>
      <c r="D18" s="47" t="n"/>
      <c r="M18" s="48" t="n"/>
      <c r="O18">
        <f>IF(OR(B18="",D18="",E18=""),"",TEXT(B18,"yyyymmdd")&amp;"|"&amp;TEXT(D18,"0.00")&amp;"|"&amp;LOWER(E18)&amp;"|"&amp;K18)</f>
        <v/>
      </c>
    </row>
    <row r="19">
      <c r="B19" s="45" t="n"/>
      <c r="C19" s="46" t="n"/>
      <c r="D19" s="47" t="n"/>
      <c r="M19" s="48" t="n"/>
      <c r="O19">
        <f>IF(OR(B19="",D19="",E19=""),"",TEXT(B19,"yyyymmdd")&amp;"|"&amp;TEXT(D19,"0.00")&amp;"|"&amp;LOWER(E19)&amp;"|"&amp;K19)</f>
        <v/>
      </c>
    </row>
    <row r="20">
      <c r="B20" s="45" t="n"/>
      <c r="C20" s="46" t="n"/>
      <c r="D20" s="47" t="n"/>
      <c r="M20" s="48" t="n"/>
      <c r="O20">
        <f>IF(OR(B20="",D20="",E20=""),"",TEXT(B20,"yyyymmdd")&amp;"|"&amp;TEXT(D20,"0.00")&amp;"|"&amp;LOWER(E20)&amp;"|"&amp;K20)</f>
        <v/>
      </c>
    </row>
    <row r="21">
      <c r="B21" s="45" t="n"/>
      <c r="C21" s="46" t="n"/>
      <c r="D21" s="47" t="n"/>
      <c r="M21" s="48" t="n"/>
      <c r="O21">
        <f>IF(OR(B21="",D21="",E21=""),"",TEXT(B21,"yyyymmdd")&amp;"|"&amp;TEXT(D21,"0.00")&amp;"|"&amp;LOWER(E21)&amp;"|"&amp;K21)</f>
        <v/>
      </c>
    </row>
    <row r="22">
      <c r="B22" s="45" t="n"/>
      <c r="C22" s="46" t="n"/>
      <c r="D22" s="47" t="n"/>
      <c r="M22" s="48" t="n"/>
      <c r="O22">
        <f>IF(OR(B22="",D22="",E22=""),"",TEXT(B22,"yyyymmdd")&amp;"|"&amp;TEXT(D22,"0.00")&amp;"|"&amp;LOWER(E22)&amp;"|"&amp;K22)</f>
        <v/>
      </c>
    </row>
    <row r="23">
      <c r="B23" s="45" t="n"/>
      <c r="C23" s="46" t="n"/>
      <c r="D23" s="47" t="n"/>
      <c r="M23" s="48" t="n"/>
      <c r="O23">
        <f>IF(OR(B23="",D23="",E23=""),"",TEXT(B23,"yyyymmdd")&amp;"|"&amp;TEXT(D23,"0.00")&amp;"|"&amp;LOWER(E23)&amp;"|"&amp;K23)</f>
        <v/>
      </c>
    </row>
    <row r="24">
      <c r="B24" s="45" t="n"/>
      <c r="C24" s="46" t="n"/>
      <c r="D24" s="47" t="n"/>
      <c r="M24" s="48" t="n"/>
      <c r="O24">
        <f>IF(OR(B24="",D24="",E24=""),"",TEXT(B24,"yyyymmdd")&amp;"|"&amp;TEXT(D24,"0.00")&amp;"|"&amp;LOWER(E24)&amp;"|"&amp;K24)</f>
        <v/>
      </c>
    </row>
    <row r="25">
      <c r="B25" s="45" t="n"/>
      <c r="C25" s="46" t="n"/>
      <c r="D25" s="47" t="n"/>
      <c r="M25" s="48" t="n"/>
      <c r="O25">
        <f>IF(OR(B25="",D25="",E25=""),"",TEXT(B25,"yyyymmdd")&amp;"|"&amp;TEXT(D25,"0.00")&amp;"|"&amp;LOWER(E25)&amp;"|"&amp;K25)</f>
        <v/>
      </c>
    </row>
    <row r="26">
      <c r="B26" s="45" t="n"/>
      <c r="C26" s="46" t="n"/>
      <c r="D26" s="47" t="n"/>
      <c r="M26" s="48" t="n"/>
      <c r="O26">
        <f>IF(OR(B26="",D26="",E26=""),"",TEXT(B26,"yyyymmdd")&amp;"|"&amp;TEXT(D26,"0.00")&amp;"|"&amp;LOWER(E26)&amp;"|"&amp;K26)</f>
        <v/>
      </c>
    </row>
    <row r="27">
      <c r="B27" s="45" t="n"/>
      <c r="C27" s="46" t="n"/>
      <c r="D27" s="47" t="n"/>
      <c r="M27" s="48" t="n"/>
      <c r="O27">
        <f>IF(OR(B27="",D27="",E27=""),"",TEXT(B27,"yyyymmdd")&amp;"|"&amp;TEXT(D27,"0.00")&amp;"|"&amp;LOWER(E27)&amp;"|"&amp;K27)</f>
        <v/>
      </c>
    </row>
    <row r="28">
      <c r="B28" s="45" t="n"/>
      <c r="C28" s="46" t="n"/>
      <c r="D28" s="47" t="n"/>
      <c r="M28" s="48" t="n"/>
      <c r="O28">
        <f>IF(OR(B28="",D28="",E28=""),"",TEXT(B28,"yyyymmdd")&amp;"|"&amp;TEXT(D28,"0.00")&amp;"|"&amp;LOWER(E28)&amp;"|"&amp;K28)</f>
        <v/>
      </c>
    </row>
    <row r="29">
      <c r="B29" s="45" t="n"/>
      <c r="C29" s="46" t="n"/>
      <c r="D29" s="47" t="n"/>
      <c r="M29" s="48" t="n"/>
      <c r="O29">
        <f>IF(OR(B29="",D29="",E29=""),"",TEXT(B29,"yyyymmdd")&amp;"|"&amp;TEXT(D29,"0.00")&amp;"|"&amp;LOWER(E29)&amp;"|"&amp;K29)</f>
        <v/>
      </c>
    </row>
    <row r="30">
      <c r="B30" s="45" t="n"/>
      <c r="C30" s="46" t="n"/>
      <c r="D30" s="47" t="n"/>
      <c r="M30" s="48" t="n"/>
      <c r="O30">
        <f>IF(OR(B30="",D30="",E30=""),"",TEXT(B30,"yyyymmdd")&amp;"|"&amp;TEXT(D30,"0.00")&amp;"|"&amp;LOWER(E30)&amp;"|"&amp;K30)</f>
        <v/>
      </c>
    </row>
    <row r="31">
      <c r="B31" s="45" t="n"/>
      <c r="C31" s="46" t="n"/>
      <c r="D31" s="47" t="n"/>
      <c r="M31" s="48" t="n"/>
      <c r="O31">
        <f>IF(OR(B31="",D31="",E31=""),"",TEXT(B31,"yyyymmdd")&amp;"|"&amp;TEXT(D31,"0.00")&amp;"|"&amp;LOWER(E31)&amp;"|"&amp;K31)</f>
        <v/>
      </c>
    </row>
    <row r="32">
      <c r="B32" s="45" t="n"/>
      <c r="C32" s="46" t="n"/>
      <c r="D32" s="47" t="n"/>
      <c r="M32" s="48" t="n"/>
      <c r="O32">
        <f>IF(OR(B32="",D32="",E32=""),"",TEXT(B32,"yyyymmdd")&amp;"|"&amp;TEXT(D32,"0.00")&amp;"|"&amp;LOWER(E32)&amp;"|"&amp;K32)</f>
        <v/>
      </c>
    </row>
    <row r="33">
      <c r="B33" s="45" t="n"/>
      <c r="C33" s="46" t="n"/>
      <c r="D33" s="47" t="n"/>
      <c r="M33" s="48" t="n"/>
      <c r="O33">
        <f>IF(OR(B33="",D33="",E33=""),"",TEXT(B33,"yyyymmdd")&amp;"|"&amp;TEXT(D33,"0.00")&amp;"|"&amp;LOWER(E33)&amp;"|"&amp;K33)</f>
        <v/>
      </c>
    </row>
    <row r="34">
      <c r="B34" s="45" t="n"/>
      <c r="C34" s="46" t="n"/>
      <c r="D34" s="47" t="n"/>
      <c r="M34" s="48" t="n"/>
      <c r="O34">
        <f>IF(OR(B34="",D34="",E34=""),"",TEXT(B34,"yyyymmdd")&amp;"|"&amp;TEXT(D34,"0.00")&amp;"|"&amp;LOWER(E34)&amp;"|"&amp;K34)</f>
        <v/>
      </c>
    </row>
    <row r="35">
      <c r="B35" s="45" t="n"/>
      <c r="C35" s="46" t="n"/>
      <c r="D35" s="47" t="n"/>
      <c r="M35" s="48" t="n"/>
      <c r="O35">
        <f>IF(OR(B35="",D35="",E35=""),"",TEXT(B35,"yyyymmdd")&amp;"|"&amp;TEXT(D35,"0.00")&amp;"|"&amp;LOWER(E35)&amp;"|"&amp;K35)</f>
        <v/>
      </c>
    </row>
    <row r="36">
      <c r="B36" s="45" t="n"/>
      <c r="C36" s="46" t="n"/>
      <c r="D36" s="47" t="n"/>
      <c r="M36" s="48" t="n"/>
      <c r="O36">
        <f>IF(OR(B36="",D36="",E36=""),"",TEXT(B36,"yyyymmdd")&amp;"|"&amp;TEXT(D36,"0.00")&amp;"|"&amp;LOWER(E36)&amp;"|"&amp;K36)</f>
        <v/>
      </c>
    </row>
    <row r="37">
      <c r="B37" s="45" t="n"/>
      <c r="C37" s="46" t="n"/>
      <c r="D37" s="47" t="n"/>
      <c r="M37" s="48" t="n"/>
      <c r="O37">
        <f>IF(OR(B37="",D37="",E37=""),"",TEXT(B37,"yyyymmdd")&amp;"|"&amp;TEXT(D37,"0.00")&amp;"|"&amp;LOWER(E37)&amp;"|"&amp;K37)</f>
        <v/>
      </c>
    </row>
    <row r="38">
      <c r="B38" s="45" t="n"/>
      <c r="C38" s="46" t="n"/>
      <c r="D38" s="47" t="n"/>
      <c r="M38" s="48" t="n"/>
      <c r="O38">
        <f>IF(OR(B38="",D38="",E38=""),"",TEXT(B38,"yyyymmdd")&amp;"|"&amp;TEXT(D38,"0.00")&amp;"|"&amp;LOWER(E38)&amp;"|"&amp;K38)</f>
        <v/>
      </c>
    </row>
    <row r="39">
      <c r="B39" s="45" t="n"/>
      <c r="C39" s="46" t="n"/>
      <c r="D39" s="47" t="n"/>
      <c r="M39" s="48" t="n"/>
      <c r="O39">
        <f>IF(OR(B39="",D39="",E39=""),"",TEXT(B39,"yyyymmdd")&amp;"|"&amp;TEXT(D39,"0.00")&amp;"|"&amp;LOWER(E39)&amp;"|"&amp;K39)</f>
        <v/>
      </c>
    </row>
    <row r="40">
      <c r="B40" s="45" t="n"/>
      <c r="C40" s="46" t="n"/>
      <c r="D40" s="47" t="n"/>
      <c r="M40" s="48" t="n"/>
      <c r="O40">
        <f>IF(OR(B40="",D40="",E40=""),"",TEXT(B40,"yyyymmdd")&amp;"|"&amp;TEXT(D40,"0.00")&amp;"|"&amp;LOWER(E40)&amp;"|"&amp;K40)</f>
        <v/>
      </c>
    </row>
    <row r="41">
      <c r="B41" s="45" t="n"/>
      <c r="C41" s="46" t="n"/>
      <c r="D41" s="47" t="n"/>
      <c r="M41" s="48" t="n"/>
      <c r="O41">
        <f>IF(OR(B41="",D41="",E41=""),"",TEXT(B41,"yyyymmdd")&amp;"|"&amp;TEXT(D41,"0.00")&amp;"|"&amp;LOWER(E41)&amp;"|"&amp;K41)</f>
        <v/>
      </c>
    </row>
    <row r="42">
      <c r="B42" s="45" t="n"/>
      <c r="C42" s="46" t="n"/>
      <c r="D42" s="47" t="n"/>
      <c r="M42" s="48" t="n"/>
      <c r="O42">
        <f>IF(OR(B42="",D42="",E42=""),"",TEXT(B42,"yyyymmdd")&amp;"|"&amp;TEXT(D42,"0.00")&amp;"|"&amp;LOWER(E42)&amp;"|"&amp;K42)</f>
        <v/>
      </c>
    </row>
    <row r="43">
      <c r="B43" s="45" t="n"/>
      <c r="C43" s="46" t="n"/>
      <c r="D43" s="47" t="n"/>
      <c r="M43" s="48" t="n"/>
      <c r="O43">
        <f>IF(OR(B43="",D43="",E43=""),"",TEXT(B43,"yyyymmdd")&amp;"|"&amp;TEXT(D43,"0.00")&amp;"|"&amp;LOWER(E43)&amp;"|"&amp;K43)</f>
        <v/>
      </c>
    </row>
    <row r="44">
      <c r="B44" s="45" t="n"/>
      <c r="C44" s="46" t="n"/>
      <c r="D44" s="47" t="n"/>
      <c r="M44" s="48" t="n"/>
      <c r="O44">
        <f>IF(OR(B44="",D44="",E44=""),"",TEXT(B44,"yyyymmdd")&amp;"|"&amp;TEXT(D44,"0.00")&amp;"|"&amp;LOWER(E44)&amp;"|"&amp;K44)</f>
        <v/>
      </c>
    </row>
    <row r="45">
      <c r="B45" s="45" t="n"/>
      <c r="C45" s="46" t="n"/>
      <c r="D45" s="47" t="n"/>
      <c r="M45" s="48" t="n"/>
      <c r="O45">
        <f>IF(OR(B45="",D45="",E45=""),"",TEXT(B45,"yyyymmdd")&amp;"|"&amp;TEXT(D45,"0.00")&amp;"|"&amp;LOWER(E45)&amp;"|"&amp;K45)</f>
        <v/>
      </c>
    </row>
    <row r="46">
      <c r="B46" s="45" t="n"/>
      <c r="C46" s="46" t="n"/>
      <c r="D46" s="47" t="n"/>
      <c r="M46" s="48" t="n"/>
      <c r="O46">
        <f>IF(OR(B46="",D46="",E46=""),"",TEXT(B46,"yyyymmdd")&amp;"|"&amp;TEXT(D46,"0.00")&amp;"|"&amp;LOWER(E46)&amp;"|"&amp;K46)</f>
        <v/>
      </c>
    </row>
    <row r="47">
      <c r="B47" s="45" t="n"/>
      <c r="C47" s="46" t="n"/>
      <c r="D47" s="47" t="n"/>
      <c r="M47" s="48" t="n"/>
      <c r="O47">
        <f>IF(OR(B47="",D47="",E47=""),"",TEXT(B47,"yyyymmdd")&amp;"|"&amp;TEXT(D47,"0.00")&amp;"|"&amp;LOWER(E47)&amp;"|"&amp;K47)</f>
        <v/>
      </c>
    </row>
    <row r="48">
      <c r="B48" s="45" t="n"/>
      <c r="C48" s="46" t="n"/>
      <c r="D48" s="47" t="n"/>
      <c r="M48" s="48" t="n"/>
      <c r="O48">
        <f>IF(OR(B48="",D48="",E48=""),"",TEXT(B48,"yyyymmdd")&amp;"|"&amp;TEXT(D48,"0.00")&amp;"|"&amp;LOWER(E48)&amp;"|"&amp;K48)</f>
        <v/>
      </c>
    </row>
    <row r="49">
      <c r="B49" s="45" t="n"/>
      <c r="C49" s="46" t="n"/>
      <c r="D49" s="47" t="n"/>
      <c r="M49" s="48" t="n"/>
      <c r="O49">
        <f>IF(OR(B49="",D49="",E49=""),"",TEXT(B49,"yyyymmdd")&amp;"|"&amp;TEXT(D49,"0.00")&amp;"|"&amp;LOWER(E49)&amp;"|"&amp;K49)</f>
        <v/>
      </c>
    </row>
    <row r="50">
      <c r="B50" s="45" t="n"/>
      <c r="C50" s="46" t="n"/>
      <c r="D50" s="47" t="n"/>
      <c r="M50" s="48" t="n"/>
      <c r="O50">
        <f>IF(OR(B50="",D50="",E50=""),"",TEXT(B50,"yyyymmdd")&amp;"|"&amp;TEXT(D50,"0.00")&amp;"|"&amp;LOWER(E50)&amp;"|"&amp;K50)</f>
        <v/>
      </c>
    </row>
    <row r="51">
      <c r="B51" s="45" t="n"/>
      <c r="C51" s="46" t="n"/>
      <c r="D51" s="47" t="n"/>
      <c r="M51" s="48" t="n"/>
      <c r="O51">
        <f>IF(OR(B51="",D51="",E51=""),"",TEXT(B51,"yyyymmdd")&amp;"|"&amp;TEXT(D51,"0.00")&amp;"|"&amp;LOWER(E51)&amp;"|"&amp;K51)</f>
        <v/>
      </c>
    </row>
    <row r="52">
      <c r="B52" s="45" t="n"/>
      <c r="C52" s="46" t="n"/>
      <c r="D52" s="47" t="n"/>
      <c r="M52" s="48" t="n"/>
      <c r="O52">
        <f>IF(OR(B52="",D52="",E52=""),"",TEXT(B52,"yyyymmdd")&amp;"|"&amp;TEXT(D52,"0.00")&amp;"|"&amp;LOWER(E52)&amp;"|"&amp;K52)</f>
        <v/>
      </c>
    </row>
    <row r="53">
      <c r="B53" s="45" t="n"/>
      <c r="C53" s="46" t="n"/>
      <c r="D53" s="47" t="n"/>
      <c r="M53" s="48" t="n"/>
      <c r="O53">
        <f>IF(OR(B53="",D53="",E53=""),"",TEXT(B53,"yyyymmdd")&amp;"|"&amp;TEXT(D53,"0.00")&amp;"|"&amp;LOWER(E53)&amp;"|"&amp;K53)</f>
        <v/>
      </c>
    </row>
    <row r="54">
      <c r="B54" s="45" t="n"/>
      <c r="C54" s="46" t="n"/>
      <c r="D54" s="47" t="n"/>
      <c r="M54" s="48" t="n"/>
      <c r="O54">
        <f>IF(OR(B54="",D54="",E54=""),"",TEXT(B54,"yyyymmdd")&amp;"|"&amp;TEXT(D54,"0.00")&amp;"|"&amp;LOWER(E54)&amp;"|"&amp;K54)</f>
        <v/>
      </c>
    </row>
    <row r="55">
      <c r="B55" s="45" t="n"/>
      <c r="C55" s="46" t="n"/>
      <c r="D55" s="47" t="n"/>
      <c r="M55" s="48" t="n"/>
      <c r="O55">
        <f>IF(OR(B55="",D55="",E55=""),"",TEXT(B55,"yyyymmdd")&amp;"|"&amp;TEXT(D55,"0.00")&amp;"|"&amp;LOWER(E55)&amp;"|"&amp;K55)</f>
        <v/>
      </c>
    </row>
    <row r="56">
      <c r="B56" s="45" t="n"/>
      <c r="C56" s="46" t="n"/>
      <c r="D56" s="47" t="n"/>
      <c r="M56" s="48" t="n"/>
      <c r="O56">
        <f>IF(OR(B56="",D56="",E56=""),"",TEXT(B56,"yyyymmdd")&amp;"|"&amp;TEXT(D56,"0.00")&amp;"|"&amp;LOWER(E56)&amp;"|"&amp;K56)</f>
        <v/>
      </c>
    </row>
    <row r="57">
      <c r="B57" s="45" t="n"/>
      <c r="C57" s="46" t="n"/>
      <c r="D57" s="47" t="n"/>
      <c r="M57" s="48" t="n"/>
      <c r="O57">
        <f>IF(OR(B57="",D57="",E57=""),"",TEXT(B57,"yyyymmdd")&amp;"|"&amp;TEXT(D57,"0.00")&amp;"|"&amp;LOWER(E57)&amp;"|"&amp;K57)</f>
        <v/>
      </c>
    </row>
    <row r="58">
      <c r="B58" s="45" t="n"/>
      <c r="C58" s="46" t="n"/>
      <c r="D58" s="47" t="n"/>
      <c r="M58" s="48" t="n"/>
      <c r="O58">
        <f>IF(OR(B58="",D58="",E58=""),"",TEXT(B58,"yyyymmdd")&amp;"|"&amp;TEXT(D58,"0.00")&amp;"|"&amp;LOWER(E58)&amp;"|"&amp;K58)</f>
        <v/>
      </c>
    </row>
    <row r="59">
      <c r="B59" s="45" t="n"/>
      <c r="C59" s="46" t="n"/>
      <c r="D59" s="47" t="n"/>
      <c r="M59" s="48" t="n"/>
      <c r="O59">
        <f>IF(OR(B59="",D59="",E59=""),"",TEXT(B59,"yyyymmdd")&amp;"|"&amp;TEXT(D59,"0.00")&amp;"|"&amp;LOWER(E59)&amp;"|"&amp;K59)</f>
        <v/>
      </c>
    </row>
    <row r="60">
      <c r="B60" s="45" t="n"/>
      <c r="C60" s="46" t="n"/>
      <c r="D60" s="47" t="n"/>
      <c r="M60" s="48" t="n"/>
      <c r="O60">
        <f>IF(OR(B60="",D60="",E60=""),"",TEXT(B60,"yyyymmdd")&amp;"|"&amp;TEXT(D60,"0.00")&amp;"|"&amp;LOWER(E60)&amp;"|"&amp;K60)</f>
        <v/>
      </c>
    </row>
    <row r="61">
      <c r="B61" s="45" t="n"/>
      <c r="C61" s="46" t="n"/>
      <c r="D61" s="47" t="n"/>
      <c r="M61" s="48" t="n"/>
      <c r="O61">
        <f>IF(OR(B61="",D61="",E61=""),"",TEXT(B61,"yyyymmdd")&amp;"|"&amp;TEXT(D61,"0.00")&amp;"|"&amp;LOWER(E61)&amp;"|"&amp;K61)</f>
        <v/>
      </c>
    </row>
    <row r="62">
      <c r="B62" s="45" t="n"/>
      <c r="C62" s="46" t="n"/>
      <c r="D62" s="47" t="n"/>
      <c r="M62" s="48" t="n"/>
      <c r="O62">
        <f>IF(OR(B62="",D62="",E62=""),"",TEXT(B62,"yyyymmdd")&amp;"|"&amp;TEXT(D62,"0.00")&amp;"|"&amp;LOWER(E62)&amp;"|"&amp;K62)</f>
        <v/>
      </c>
    </row>
    <row r="63">
      <c r="B63" s="45" t="n"/>
      <c r="C63" s="46" t="n"/>
      <c r="D63" s="47" t="n"/>
      <c r="M63" s="48" t="n"/>
      <c r="O63">
        <f>IF(OR(B63="",D63="",E63=""),"",TEXT(B63,"yyyymmdd")&amp;"|"&amp;TEXT(D63,"0.00")&amp;"|"&amp;LOWER(E63)&amp;"|"&amp;K63)</f>
        <v/>
      </c>
    </row>
    <row r="64">
      <c r="B64" s="45" t="n"/>
      <c r="C64" s="46" t="n"/>
      <c r="D64" s="47" t="n"/>
      <c r="M64" s="48" t="n"/>
      <c r="O64">
        <f>IF(OR(B64="",D64="",E64=""),"",TEXT(B64,"yyyymmdd")&amp;"|"&amp;TEXT(D64,"0.00")&amp;"|"&amp;LOWER(E64)&amp;"|"&amp;K64)</f>
        <v/>
      </c>
    </row>
    <row r="65">
      <c r="B65" s="45" t="n"/>
      <c r="C65" s="46" t="n"/>
      <c r="D65" s="47" t="n"/>
      <c r="M65" s="48" t="n"/>
      <c r="O65">
        <f>IF(OR(B65="",D65="",E65=""),"",TEXT(B65,"yyyymmdd")&amp;"|"&amp;TEXT(D65,"0.00")&amp;"|"&amp;LOWER(E65)&amp;"|"&amp;K65)</f>
        <v/>
      </c>
    </row>
    <row r="66">
      <c r="B66" s="45" t="n"/>
      <c r="C66" s="46" t="n"/>
      <c r="D66" s="47" t="n"/>
      <c r="M66" s="48" t="n"/>
      <c r="O66">
        <f>IF(OR(B66="",D66="",E66=""),"",TEXT(B66,"yyyymmdd")&amp;"|"&amp;TEXT(D66,"0.00")&amp;"|"&amp;LOWER(E66)&amp;"|"&amp;K66)</f>
        <v/>
      </c>
    </row>
    <row r="67">
      <c r="B67" s="45" t="n"/>
      <c r="C67" s="46" t="n"/>
      <c r="D67" s="47" t="n"/>
      <c r="M67" s="48" t="n"/>
      <c r="O67">
        <f>IF(OR(B67="",D67="",E67=""),"",TEXT(B67,"yyyymmdd")&amp;"|"&amp;TEXT(D67,"0.00")&amp;"|"&amp;LOWER(E67)&amp;"|"&amp;K67)</f>
        <v/>
      </c>
    </row>
    <row r="68">
      <c r="B68" s="45" t="n"/>
      <c r="C68" s="46" t="n"/>
      <c r="D68" s="47" t="n"/>
      <c r="M68" s="48" t="n"/>
      <c r="O68">
        <f>IF(OR(B68="",D68="",E68=""),"",TEXT(B68,"yyyymmdd")&amp;"|"&amp;TEXT(D68,"0.00")&amp;"|"&amp;LOWER(E68)&amp;"|"&amp;K68)</f>
        <v/>
      </c>
    </row>
    <row r="69">
      <c r="B69" s="45" t="n"/>
      <c r="C69" s="46" t="n"/>
      <c r="D69" s="47" t="n"/>
      <c r="M69" s="48" t="n"/>
      <c r="O69">
        <f>IF(OR(B69="",D69="",E69=""),"",TEXT(B69,"yyyymmdd")&amp;"|"&amp;TEXT(D69,"0.00")&amp;"|"&amp;LOWER(E69)&amp;"|"&amp;K69)</f>
        <v/>
      </c>
    </row>
    <row r="70">
      <c r="B70" s="45" t="n"/>
      <c r="C70" s="46" t="n"/>
      <c r="D70" s="47" t="n"/>
      <c r="M70" s="48" t="n"/>
      <c r="O70">
        <f>IF(OR(B70="",D70="",E70=""),"",TEXT(B70,"yyyymmdd")&amp;"|"&amp;TEXT(D70,"0.00")&amp;"|"&amp;LOWER(E70)&amp;"|"&amp;K70)</f>
        <v/>
      </c>
    </row>
    <row r="71">
      <c r="B71" s="45" t="n"/>
      <c r="C71" s="46" t="n"/>
      <c r="D71" s="47" t="n"/>
      <c r="M71" s="48" t="n"/>
      <c r="O71">
        <f>IF(OR(B71="",D71="",E71=""),"",TEXT(B71,"yyyymmdd")&amp;"|"&amp;TEXT(D71,"0.00")&amp;"|"&amp;LOWER(E71)&amp;"|"&amp;K71)</f>
        <v/>
      </c>
    </row>
    <row r="72">
      <c r="B72" s="45" t="n"/>
      <c r="C72" s="46" t="n"/>
      <c r="D72" s="47" t="n"/>
      <c r="M72" s="48" t="n"/>
      <c r="O72">
        <f>IF(OR(B72="",D72="",E72=""),"",TEXT(B72,"yyyymmdd")&amp;"|"&amp;TEXT(D72,"0.00")&amp;"|"&amp;LOWER(E72)&amp;"|"&amp;K72)</f>
        <v/>
      </c>
    </row>
    <row r="73">
      <c r="B73" s="45" t="n"/>
      <c r="C73" s="46" t="n"/>
      <c r="D73" s="47" t="n"/>
      <c r="M73" s="48" t="n"/>
      <c r="O73">
        <f>IF(OR(B73="",D73="",E73=""),"",TEXT(B73,"yyyymmdd")&amp;"|"&amp;TEXT(D73,"0.00")&amp;"|"&amp;LOWER(E73)&amp;"|"&amp;K73)</f>
        <v/>
      </c>
    </row>
    <row r="74">
      <c r="B74" s="45" t="n"/>
      <c r="C74" s="46" t="n"/>
      <c r="D74" s="47" t="n"/>
      <c r="M74" s="48" t="n"/>
      <c r="O74">
        <f>IF(OR(B74="",D74="",E74=""),"",TEXT(B74,"yyyymmdd")&amp;"|"&amp;TEXT(D74,"0.00")&amp;"|"&amp;LOWER(E74)&amp;"|"&amp;K74)</f>
        <v/>
      </c>
    </row>
    <row r="75">
      <c r="B75" s="45" t="n"/>
      <c r="C75" s="46" t="n"/>
      <c r="D75" s="47" t="n"/>
      <c r="M75" s="48" t="n"/>
      <c r="O75">
        <f>IF(OR(B75="",D75="",E75=""),"",TEXT(B75,"yyyymmdd")&amp;"|"&amp;TEXT(D75,"0.00")&amp;"|"&amp;LOWER(E75)&amp;"|"&amp;K75)</f>
        <v/>
      </c>
    </row>
    <row r="76">
      <c r="B76" s="45" t="n"/>
      <c r="C76" s="46" t="n"/>
      <c r="D76" s="47" t="n"/>
      <c r="M76" s="48" t="n"/>
      <c r="O76">
        <f>IF(OR(B76="",D76="",E76=""),"",TEXT(B76,"yyyymmdd")&amp;"|"&amp;TEXT(D76,"0.00")&amp;"|"&amp;LOWER(E76)&amp;"|"&amp;K76)</f>
        <v/>
      </c>
    </row>
    <row r="77">
      <c r="B77" s="45" t="n"/>
      <c r="C77" s="46" t="n"/>
      <c r="D77" s="47" t="n"/>
      <c r="M77" s="48" t="n"/>
      <c r="O77">
        <f>IF(OR(B77="",D77="",E77=""),"",TEXT(B77,"yyyymmdd")&amp;"|"&amp;TEXT(D77,"0.00")&amp;"|"&amp;LOWER(E77)&amp;"|"&amp;K77)</f>
        <v/>
      </c>
    </row>
    <row r="78">
      <c r="B78" s="45" t="n"/>
      <c r="C78" s="46" t="n"/>
      <c r="D78" s="47" t="n"/>
      <c r="M78" s="48" t="n"/>
      <c r="O78">
        <f>IF(OR(B78="",D78="",E78=""),"",TEXT(B78,"yyyymmdd")&amp;"|"&amp;TEXT(D78,"0.00")&amp;"|"&amp;LOWER(E78)&amp;"|"&amp;K78)</f>
        <v/>
      </c>
    </row>
    <row r="79">
      <c r="B79" s="45" t="n"/>
      <c r="C79" s="46" t="n"/>
      <c r="D79" s="47" t="n"/>
      <c r="M79" s="48" t="n"/>
      <c r="O79">
        <f>IF(OR(B79="",D79="",E79=""),"",TEXT(B79,"yyyymmdd")&amp;"|"&amp;TEXT(D79,"0.00")&amp;"|"&amp;LOWER(E79)&amp;"|"&amp;K79)</f>
        <v/>
      </c>
    </row>
    <row r="80">
      <c r="B80" s="45" t="n"/>
      <c r="C80" s="46" t="n"/>
      <c r="D80" s="47" t="n"/>
      <c r="M80" s="48" t="n"/>
      <c r="O80">
        <f>IF(OR(B80="",D80="",E80=""),"",TEXT(B80,"yyyymmdd")&amp;"|"&amp;TEXT(D80,"0.00")&amp;"|"&amp;LOWER(E80)&amp;"|"&amp;K80)</f>
        <v/>
      </c>
    </row>
    <row r="81">
      <c r="B81" s="45" t="n"/>
      <c r="C81" s="46" t="n"/>
      <c r="D81" s="47" t="n"/>
      <c r="M81" s="48" t="n"/>
      <c r="O81">
        <f>IF(OR(B81="",D81="",E81=""),"",TEXT(B81,"yyyymmdd")&amp;"|"&amp;TEXT(D81,"0.00")&amp;"|"&amp;LOWER(E81)&amp;"|"&amp;K81)</f>
        <v/>
      </c>
    </row>
    <row r="82">
      <c r="B82" s="45" t="n"/>
      <c r="C82" s="46" t="n"/>
      <c r="D82" s="47" t="n"/>
      <c r="M82" s="48" t="n"/>
      <c r="O82">
        <f>IF(OR(B82="",D82="",E82=""),"",TEXT(B82,"yyyymmdd")&amp;"|"&amp;TEXT(D82,"0.00")&amp;"|"&amp;LOWER(E82)&amp;"|"&amp;K82)</f>
        <v/>
      </c>
    </row>
    <row r="83">
      <c r="B83" s="45" t="n"/>
      <c r="C83" s="46" t="n"/>
      <c r="D83" s="47" t="n"/>
      <c r="M83" s="48" t="n"/>
      <c r="O83">
        <f>IF(OR(B83="",D83="",E83=""),"",TEXT(B83,"yyyymmdd")&amp;"|"&amp;TEXT(D83,"0.00")&amp;"|"&amp;LOWER(E83)&amp;"|"&amp;K83)</f>
        <v/>
      </c>
    </row>
    <row r="84">
      <c r="B84" s="45" t="n"/>
      <c r="C84" s="46" t="n"/>
      <c r="D84" s="47" t="n"/>
      <c r="M84" s="48" t="n"/>
      <c r="O84">
        <f>IF(OR(B84="",D84="",E84=""),"",TEXT(B84,"yyyymmdd")&amp;"|"&amp;TEXT(D84,"0.00")&amp;"|"&amp;LOWER(E84)&amp;"|"&amp;K84)</f>
        <v/>
      </c>
    </row>
    <row r="85">
      <c r="B85" s="45" t="n"/>
      <c r="C85" s="46" t="n"/>
      <c r="D85" s="47" t="n"/>
      <c r="M85" s="48" t="n"/>
      <c r="O85">
        <f>IF(OR(B85="",D85="",E85=""),"",TEXT(B85,"yyyymmdd")&amp;"|"&amp;TEXT(D85,"0.00")&amp;"|"&amp;LOWER(E85)&amp;"|"&amp;K85)</f>
        <v/>
      </c>
    </row>
    <row r="86">
      <c r="B86" s="45" t="n"/>
      <c r="C86" s="46" t="n"/>
      <c r="D86" s="47" t="n"/>
      <c r="M86" s="48" t="n"/>
      <c r="O86">
        <f>IF(OR(B86="",D86="",E86=""),"",TEXT(B86,"yyyymmdd")&amp;"|"&amp;TEXT(D86,"0.00")&amp;"|"&amp;LOWER(E86)&amp;"|"&amp;K86)</f>
        <v/>
      </c>
    </row>
    <row r="87">
      <c r="B87" s="45" t="n"/>
      <c r="C87" s="46" t="n"/>
      <c r="D87" s="47" t="n"/>
      <c r="M87" s="48" t="n"/>
      <c r="O87">
        <f>IF(OR(B87="",D87="",E87=""),"",TEXT(B87,"yyyymmdd")&amp;"|"&amp;TEXT(D87,"0.00")&amp;"|"&amp;LOWER(E87)&amp;"|"&amp;K87)</f>
        <v/>
      </c>
    </row>
    <row r="88">
      <c r="B88" s="45" t="n"/>
      <c r="C88" s="46" t="n"/>
      <c r="D88" s="47" t="n"/>
      <c r="M88" s="48" t="n"/>
      <c r="O88">
        <f>IF(OR(B88="",D88="",E88=""),"",TEXT(B88,"yyyymmdd")&amp;"|"&amp;TEXT(D88,"0.00")&amp;"|"&amp;LOWER(E88)&amp;"|"&amp;K88)</f>
        <v/>
      </c>
    </row>
    <row r="89">
      <c r="B89" s="45" t="n"/>
      <c r="C89" s="46" t="n"/>
      <c r="D89" s="47" t="n"/>
      <c r="M89" s="48" t="n"/>
      <c r="O89">
        <f>IF(OR(B89="",D89="",E89=""),"",TEXT(B89,"yyyymmdd")&amp;"|"&amp;TEXT(D89,"0.00")&amp;"|"&amp;LOWER(E89)&amp;"|"&amp;K89)</f>
        <v/>
      </c>
    </row>
    <row r="90">
      <c r="B90" s="45" t="n"/>
      <c r="C90" s="46" t="n"/>
      <c r="D90" s="47" t="n"/>
      <c r="M90" s="48" t="n"/>
      <c r="O90">
        <f>IF(OR(B90="",D90="",E90=""),"",TEXT(B90,"yyyymmdd")&amp;"|"&amp;TEXT(D90,"0.00")&amp;"|"&amp;LOWER(E90)&amp;"|"&amp;K90)</f>
        <v/>
      </c>
    </row>
    <row r="91">
      <c r="B91" s="45" t="n"/>
      <c r="C91" s="46" t="n"/>
      <c r="D91" s="47" t="n"/>
      <c r="M91" s="48" t="n"/>
      <c r="O91">
        <f>IF(OR(B91="",D91="",E91=""),"",TEXT(B91,"yyyymmdd")&amp;"|"&amp;TEXT(D91,"0.00")&amp;"|"&amp;LOWER(E91)&amp;"|"&amp;K91)</f>
        <v/>
      </c>
    </row>
    <row r="92">
      <c r="B92" s="45" t="n"/>
      <c r="C92" s="46" t="n"/>
      <c r="D92" s="47" t="n"/>
      <c r="M92" s="48" t="n"/>
      <c r="O92">
        <f>IF(OR(B92="",D92="",E92=""),"",TEXT(B92,"yyyymmdd")&amp;"|"&amp;TEXT(D92,"0.00")&amp;"|"&amp;LOWER(E92)&amp;"|"&amp;K92)</f>
        <v/>
      </c>
    </row>
    <row r="93">
      <c r="B93" s="45" t="n"/>
      <c r="C93" s="46" t="n"/>
      <c r="D93" s="47" t="n"/>
      <c r="M93" s="48" t="n"/>
      <c r="O93">
        <f>IF(OR(B93="",D93="",E93=""),"",TEXT(B93,"yyyymmdd")&amp;"|"&amp;TEXT(D93,"0.00")&amp;"|"&amp;LOWER(E93)&amp;"|"&amp;K93)</f>
        <v/>
      </c>
    </row>
    <row r="94">
      <c r="B94" s="45" t="n"/>
      <c r="C94" s="46" t="n"/>
      <c r="D94" s="47" t="n"/>
      <c r="M94" s="48" t="n"/>
      <c r="O94">
        <f>IF(OR(B94="",D94="",E94=""),"",TEXT(B94,"yyyymmdd")&amp;"|"&amp;TEXT(D94,"0.00")&amp;"|"&amp;LOWER(E94)&amp;"|"&amp;K94)</f>
        <v/>
      </c>
    </row>
    <row r="95">
      <c r="B95" s="45" t="n"/>
      <c r="C95" s="46" t="n"/>
      <c r="D95" s="47" t="n"/>
      <c r="M95" s="48" t="n"/>
      <c r="O95">
        <f>IF(OR(B95="",D95="",E95=""),"",TEXT(B95,"yyyymmdd")&amp;"|"&amp;TEXT(D95,"0.00")&amp;"|"&amp;LOWER(E95)&amp;"|"&amp;K95)</f>
        <v/>
      </c>
    </row>
    <row r="96">
      <c r="B96" s="45" t="n"/>
      <c r="C96" s="46" t="n"/>
      <c r="D96" s="47" t="n"/>
      <c r="M96" s="48" t="n"/>
      <c r="O96">
        <f>IF(OR(B96="",D96="",E96=""),"",TEXT(B96,"yyyymmdd")&amp;"|"&amp;TEXT(D96,"0.00")&amp;"|"&amp;LOWER(E96)&amp;"|"&amp;K96)</f>
        <v/>
      </c>
    </row>
    <row r="97">
      <c r="B97" s="45" t="n"/>
      <c r="C97" s="46" t="n"/>
      <c r="D97" s="47" t="n"/>
      <c r="M97" s="48" t="n"/>
      <c r="O97">
        <f>IF(OR(B97="",D97="",E97=""),"",TEXT(B97,"yyyymmdd")&amp;"|"&amp;TEXT(D97,"0.00")&amp;"|"&amp;LOWER(E97)&amp;"|"&amp;K97)</f>
        <v/>
      </c>
    </row>
    <row r="98">
      <c r="B98" s="45" t="n"/>
      <c r="C98" s="46" t="n"/>
      <c r="D98" s="47" t="n"/>
      <c r="M98" s="48" t="n"/>
      <c r="O98">
        <f>IF(OR(B98="",D98="",E98=""),"",TEXT(B98,"yyyymmdd")&amp;"|"&amp;TEXT(D98,"0.00")&amp;"|"&amp;LOWER(E98)&amp;"|"&amp;K98)</f>
        <v/>
      </c>
    </row>
    <row r="99">
      <c r="B99" s="45" t="n"/>
      <c r="C99" s="46" t="n"/>
      <c r="D99" s="47" t="n"/>
      <c r="M99" s="48" t="n"/>
      <c r="O99">
        <f>IF(OR(B99="",D99="",E99=""),"",TEXT(B99,"yyyymmdd")&amp;"|"&amp;TEXT(D99,"0.00")&amp;"|"&amp;LOWER(E99)&amp;"|"&amp;K99)</f>
        <v/>
      </c>
    </row>
    <row r="100">
      <c r="B100" s="45" t="n"/>
      <c r="C100" s="46" t="n"/>
      <c r="D100" s="47" t="n"/>
      <c r="M100" s="48" t="n"/>
      <c r="O100">
        <f>IF(OR(B100="",D100="",E100=""),"",TEXT(B100,"yyyymmdd")&amp;"|"&amp;TEXT(D100,"0.00")&amp;"|"&amp;LOWER(E100)&amp;"|"&amp;K100)</f>
        <v/>
      </c>
    </row>
    <row r="101">
      <c r="B101" s="45" t="n"/>
      <c r="C101" s="46" t="n"/>
      <c r="D101" s="47" t="n"/>
      <c r="M101" s="48" t="n"/>
      <c r="O101">
        <f>IF(OR(B101="",D101="",E101=""),"",TEXT(B101,"yyyymmdd")&amp;"|"&amp;TEXT(D101,"0.00")&amp;"|"&amp;LOWER(E101)&amp;"|"&amp;K101)</f>
        <v/>
      </c>
    </row>
    <row r="102">
      <c r="B102" s="45" t="n"/>
      <c r="C102" s="46" t="n"/>
      <c r="D102" s="47" t="n"/>
      <c r="M102" s="48" t="n"/>
      <c r="O102">
        <f>IF(OR(B102="",D102="",E102=""),"",TEXT(B102,"yyyymmdd")&amp;"|"&amp;TEXT(D102,"0.00")&amp;"|"&amp;LOWER(E102)&amp;"|"&amp;K102)</f>
        <v/>
      </c>
    </row>
    <row r="103">
      <c r="B103" s="45" t="n"/>
      <c r="C103" s="46" t="n"/>
      <c r="D103" s="47" t="n"/>
      <c r="M103" s="48" t="n"/>
      <c r="O103">
        <f>IF(OR(B103="",D103="",E103=""),"",TEXT(B103,"yyyymmdd")&amp;"|"&amp;TEXT(D103,"0.00")&amp;"|"&amp;LOWER(E103)&amp;"|"&amp;K103)</f>
        <v/>
      </c>
    </row>
    <row r="104">
      <c r="B104" s="45" t="n"/>
      <c r="C104" s="46" t="n"/>
      <c r="D104" s="47" t="n"/>
      <c r="M104" s="48" t="n"/>
      <c r="O104">
        <f>IF(OR(B104="",D104="",E104=""),"",TEXT(B104,"yyyymmdd")&amp;"|"&amp;TEXT(D104,"0.00")&amp;"|"&amp;LOWER(E104)&amp;"|"&amp;K104)</f>
        <v/>
      </c>
    </row>
    <row r="105">
      <c r="B105" s="45" t="n"/>
      <c r="C105" s="46" t="n"/>
      <c r="D105" s="47" t="n"/>
      <c r="M105" s="48" t="n"/>
      <c r="O105">
        <f>IF(OR(B105="",D105="",E105=""),"",TEXT(B105,"yyyymmdd")&amp;"|"&amp;TEXT(D105,"0.00")&amp;"|"&amp;LOWER(E105)&amp;"|"&amp;K105)</f>
        <v/>
      </c>
    </row>
    <row r="106">
      <c r="B106" s="45" t="n"/>
      <c r="C106" s="46" t="n"/>
      <c r="D106" s="47" t="n"/>
      <c r="M106" s="48" t="n"/>
      <c r="O106">
        <f>IF(OR(B106="",D106="",E106=""),"",TEXT(B106,"yyyymmdd")&amp;"|"&amp;TEXT(D106,"0.00")&amp;"|"&amp;LOWER(E106)&amp;"|"&amp;K106)</f>
        <v/>
      </c>
    </row>
    <row r="107">
      <c r="B107" s="45" t="n"/>
      <c r="C107" s="46" t="n"/>
      <c r="D107" s="47" t="n"/>
      <c r="M107" s="48" t="n"/>
      <c r="O107">
        <f>IF(OR(B107="",D107="",E107=""),"",TEXT(B107,"yyyymmdd")&amp;"|"&amp;TEXT(D107,"0.00")&amp;"|"&amp;LOWER(E107)&amp;"|"&amp;K107)</f>
        <v/>
      </c>
    </row>
    <row r="108">
      <c r="B108" s="45" t="n"/>
      <c r="C108" s="46" t="n"/>
      <c r="D108" s="47" t="n"/>
      <c r="M108" s="48" t="n"/>
      <c r="O108">
        <f>IF(OR(B108="",D108="",E108=""),"",TEXT(B108,"yyyymmdd")&amp;"|"&amp;TEXT(D108,"0.00")&amp;"|"&amp;LOWER(E108)&amp;"|"&amp;K108)</f>
        <v/>
      </c>
    </row>
    <row r="109">
      <c r="B109" s="45" t="n"/>
      <c r="C109" s="46" t="n"/>
      <c r="D109" s="47" t="n"/>
      <c r="M109" s="48" t="n"/>
      <c r="O109">
        <f>IF(OR(B109="",D109="",E109=""),"",TEXT(B109,"yyyymmdd")&amp;"|"&amp;TEXT(D109,"0.00")&amp;"|"&amp;LOWER(E109)&amp;"|"&amp;K109)</f>
        <v/>
      </c>
    </row>
    <row r="110">
      <c r="B110" s="45" t="n"/>
      <c r="C110" s="46" t="n"/>
      <c r="D110" s="47" t="n"/>
      <c r="M110" s="48" t="n"/>
      <c r="O110">
        <f>IF(OR(B110="",D110="",E110=""),"",TEXT(B110,"yyyymmdd")&amp;"|"&amp;TEXT(D110,"0.00")&amp;"|"&amp;LOWER(E110)&amp;"|"&amp;K110)</f>
        <v/>
      </c>
    </row>
    <row r="111">
      <c r="B111" s="45" t="n"/>
      <c r="C111" s="46" t="n"/>
      <c r="D111" s="47" t="n"/>
      <c r="M111" s="48" t="n"/>
      <c r="O111">
        <f>IF(OR(B111="",D111="",E111=""),"",TEXT(B111,"yyyymmdd")&amp;"|"&amp;TEXT(D111,"0.00")&amp;"|"&amp;LOWER(E111)&amp;"|"&amp;K111)</f>
        <v/>
      </c>
    </row>
    <row r="112">
      <c r="B112" s="45" t="n"/>
      <c r="C112" s="46" t="n"/>
      <c r="D112" s="47" t="n"/>
      <c r="M112" s="48" t="n"/>
      <c r="O112">
        <f>IF(OR(B112="",D112="",E112=""),"",TEXT(B112,"yyyymmdd")&amp;"|"&amp;TEXT(D112,"0.00")&amp;"|"&amp;LOWER(E112)&amp;"|"&amp;K112)</f>
        <v/>
      </c>
    </row>
    <row r="113">
      <c r="B113" s="45" t="n"/>
      <c r="C113" s="46" t="n"/>
      <c r="D113" s="47" t="n"/>
      <c r="M113" s="48" t="n"/>
      <c r="O113">
        <f>IF(OR(B113="",D113="",E113=""),"",TEXT(B113,"yyyymmdd")&amp;"|"&amp;TEXT(D113,"0.00")&amp;"|"&amp;LOWER(E113)&amp;"|"&amp;K113)</f>
        <v/>
      </c>
    </row>
    <row r="114">
      <c r="B114" s="45" t="n"/>
      <c r="C114" s="46" t="n"/>
      <c r="D114" s="47" t="n"/>
      <c r="M114" s="48" t="n"/>
      <c r="O114">
        <f>IF(OR(B114="",D114="",E114=""),"",TEXT(B114,"yyyymmdd")&amp;"|"&amp;TEXT(D114,"0.00")&amp;"|"&amp;LOWER(E114)&amp;"|"&amp;K114)</f>
        <v/>
      </c>
    </row>
    <row r="115">
      <c r="B115" s="45" t="n"/>
      <c r="C115" s="46" t="n"/>
      <c r="D115" s="47" t="n"/>
      <c r="M115" s="48" t="n"/>
      <c r="O115">
        <f>IF(OR(B115="",D115="",E115=""),"",TEXT(B115,"yyyymmdd")&amp;"|"&amp;TEXT(D115,"0.00")&amp;"|"&amp;LOWER(E115)&amp;"|"&amp;K115)</f>
        <v/>
      </c>
    </row>
    <row r="116">
      <c r="B116" s="45" t="n"/>
      <c r="C116" s="46" t="n"/>
      <c r="D116" s="47" t="n"/>
      <c r="M116" s="48" t="n"/>
      <c r="O116">
        <f>IF(OR(B116="",D116="",E116=""),"",TEXT(B116,"yyyymmdd")&amp;"|"&amp;TEXT(D116,"0.00")&amp;"|"&amp;LOWER(E116)&amp;"|"&amp;K116)</f>
        <v/>
      </c>
    </row>
    <row r="117">
      <c r="B117" s="45" t="n"/>
      <c r="C117" s="46" t="n"/>
      <c r="D117" s="47" t="n"/>
      <c r="M117" s="48" t="n"/>
      <c r="O117">
        <f>IF(OR(B117="",D117="",E117=""),"",TEXT(B117,"yyyymmdd")&amp;"|"&amp;TEXT(D117,"0.00")&amp;"|"&amp;LOWER(E117)&amp;"|"&amp;K117)</f>
        <v/>
      </c>
    </row>
    <row r="118">
      <c r="B118" s="45" t="n"/>
      <c r="C118" s="46" t="n"/>
      <c r="D118" s="47" t="n"/>
      <c r="M118" s="48" t="n"/>
      <c r="O118">
        <f>IF(OR(B118="",D118="",E118=""),"",TEXT(B118,"yyyymmdd")&amp;"|"&amp;TEXT(D118,"0.00")&amp;"|"&amp;LOWER(E118)&amp;"|"&amp;K118)</f>
        <v/>
      </c>
    </row>
    <row r="119">
      <c r="B119" s="45" t="n"/>
      <c r="C119" s="46" t="n"/>
      <c r="D119" s="47" t="n"/>
      <c r="M119" s="48" t="n"/>
      <c r="O119">
        <f>IF(OR(B119="",D119="",E119=""),"",TEXT(B119,"yyyymmdd")&amp;"|"&amp;TEXT(D119,"0.00")&amp;"|"&amp;LOWER(E119)&amp;"|"&amp;K119)</f>
        <v/>
      </c>
    </row>
    <row r="120">
      <c r="B120" s="45" t="n"/>
      <c r="C120" s="46" t="n"/>
      <c r="D120" s="47" t="n"/>
      <c r="M120" s="48" t="n"/>
      <c r="O120">
        <f>IF(OR(B120="",D120="",E120=""),"",TEXT(B120,"yyyymmdd")&amp;"|"&amp;TEXT(D120,"0.00")&amp;"|"&amp;LOWER(E120)&amp;"|"&amp;K120)</f>
        <v/>
      </c>
    </row>
    <row r="121">
      <c r="B121" s="45" t="n"/>
      <c r="C121" s="46" t="n"/>
      <c r="D121" s="47" t="n"/>
      <c r="M121" s="48" t="n"/>
      <c r="O121">
        <f>IF(OR(B121="",D121="",E121=""),"",TEXT(B121,"yyyymmdd")&amp;"|"&amp;TEXT(D121,"0.00")&amp;"|"&amp;LOWER(E121)&amp;"|"&amp;K121)</f>
        <v/>
      </c>
    </row>
    <row r="122">
      <c r="B122" s="45" t="n"/>
      <c r="C122" s="46" t="n"/>
      <c r="D122" s="47" t="n"/>
      <c r="M122" s="48" t="n"/>
      <c r="O122">
        <f>IF(OR(B122="",D122="",E122=""),"",TEXT(B122,"yyyymmdd")&amp;"|"&amp;TEXT(D122,"0.00")&amp;"|"&amp;LOWER(E122)&amp;"|"&amp;K122)</f>
        <v/>
      </c>
    </row>
    <row r="123">
      <c r="B123" s="45" t="n"/>
      <c r="C123" s="46" t="n"/>
      <c r="D123" s="47" t="n"/>
      <c r="M123" s="48" t="n"/>
      <c r="O123">
        <f>IF(OR(B123="",D123="",E123=""),"",TEXT(B123,"yyyymmdd")&amp;"|"&amp;TEXT(D123,"0.00")&amp;"|"&amp;LOWER(E123)&amp;"|"&amp;K123)</f>
        <v/>
      </c>
    </row>
    <row r="124">
      <c r="B124" s="45" t="n"/>
      <c r="C124" s="46" t="n"/>
      <c r="D124" s="47" t="n"/>
      <c r="M124" s="48" t="n"/>
      <c r="O124">
        <f>IF(OR(B124="",D124="",E124=""),"",TEXT(B124,"yyyymmdd")&amp;"|"&amp;TEXT(D124,"0.00")&amp;"|"&amp;LOWER(E124)&amp;"|"&amp;K124)</f>
        <v/>
      </c>
    </row>
    <row r="125">
      <c r="B125" s="45" t="n"/>
      <c r="C125" s="46" t="n"/>
      <c r="D125" s="47" t="n"/>
      <c r="M125" s="48" t="n"/>
      <c r="O125">
        <f>IF(OR(B125="",D125="",E125=""),"",TEXT(B125,"yyyymmdd")&amp;"|"&amp;TEXT(D125,"0.00")&amp;"|"&amp;LOWER(E125)&amp;"|"&amp;K125)</f>
        <v/>
      </c>
    </row>
    <row r="126">
      <c r="B126" s="45" t="n"/>
      <c r="C126" s="46" t="n"/>
      <c r="D126" s="47" t="n"/>
      <c r="M126" s="48" t="n"/>
      <c r="O126">
        <f>IF(OR(B126="",D126="",E126=""),"",TEXT(B126,"yyyymmdd")&amp;"|"&amp;TEXT(D126,"0.00")&amp;"|"&amp;LOWER(E126)&amp;"|"&amp;K126)</f>
        <v/>
      </c>
    </row>
    <row r="127">
      <c r="B127" s="45" t="n"/>
      <c r="C127" s="46" t="n"/>
      <c r="D127" s="47" t="n"/>
      <c r="M127" s="48" t="n"/>
      <c r="O127">
        <f>IF(OR(B127="",D127="",E127=""),"",TEXT(B127,"yyyymmdd")&amp;"|"&amp;TEXT(D127,"0.00")&amp;"|"&amp;LOWER(E127)&amp;"|"&amp;K127)</f>
        <v/>
      </c>
    </row>
    <row r="128">
      <c r="B128" s="45" t="n"/>
      <c r="C128" s="46" t="n"/>
      <c r="D128" s="47" t="n"/>
      <c r="M128" s="48" t="n"/>
      <c r="O128">
        <f>IF(OR(B128="",D128="",E128=""),"",TEXT(B128,"yyyymmdd")&amp;"|"&amp;TEXT(D128,"0.00")&amp;"|"&amp;LOWER(E128)&amp;"|"&amp;K128)</f>
        <v/>
      </c>
    </row>
    <row r="129">
      <c r="B129" s="45" t="n"/>
      <c r="C129" s="46" t="n"/>
      <c r="D129" s="47" t="n"/>
      <c r="M129" s="48" t="n"/>
      <c r="O129">
        <f>IF(OR(B129="",D129="",E129=""),"",TEXT(B129,"yyyymmdd")&amp;"|"&amp;TEXT(D129,"0.00")&amp;"|"&amp;LOWER(E129)&amp;"|"&amp;K129)</f>
        <v/>
      </c>
    </row>
    <row r="130">
      <c r="B130" s="45" t="n"/>
      <c r="C130" s="46" t="n"/>
      <c r="D130" s="47" t="n"/>
      <c r="M130" s="48" t="n"/>
      <c r="O130">
        <f>IF(OR(B130="",D130="",E130=""),"",TEXT(B130,"yyyymmdd")&amp;"|"&amp;TEXT(D130,"0.00")&amp;"|"&amp;LOWER(E130)&amp;"|"&amp;K130)</f>
        <v/>
      </c>
    </row>
    <row r="131">
      <c r="B131" s="45" t="n"/>
      <c r="C131" s="46" t="n"/>
      <c r="D131" s="47" t="n"/>
      <c r="M131" s="48" t="n"/>
      <c r="O131">
        <f>IF(OR(B131="",D131="",E131=""),"",TEXT(B131,"yyyymmdd")&amp;"|"&amp;TEXT(D131,"0.00")&amp;"|"&amp;LOWER(E131)&amp;"|"&amp;K131)</f>
        <v/>
      </c>
    </row>
    <row r="132">
      <c r="B132" s="45" t="n"/>
      <c r="C132" s="46" t="n"/>
      <c r="D132" s="47" t="n"/>
      <c r="M132" s="48" t="n"/>
      <c r="O132">
        <f>IF(OR(B132="",D132="",E132=""),"",TEXT(B132,"yyyymmdd")&amp;"|"&amp;TEXT(D132,"0.00")&amp;"|"&amp;LOWER(E132)&amp;"|"&amp;K132)</f>
        <v/>
      </c>
    </row>
    <row r="133">
      <c r="B133" s="45" t="n"/>
      <c r="C133" s="46" t="n"/>
      <c r="D133" s="47" t="n"/>
      <c r="M133" s="48" t="n"/>
      <c r="O133">
        <f>IF(OR(B133="",D133="",E133=""),"",TEXT(B133,"yyyymmdd")&amp;"|"&amp;TEXT(D133,"0.00")&amp;"|"&amp;LOWER(E133)&amp;"|"&amp;K133)</f>
        <v/>
      </c>
    </row>
    <row r="134">
      <c r="B134" s="45" t="n"/>
      <c r="C134" s="46" t="n"/>
      <c r="D134" s="47" t="n"/>
      <c r="M134" s="48" t="n"/>
      <c r="O134">
        <f>IF(OR(B134="",D134="",E134=""),"",TEXT(B134,"yyyymmdd")&amp;"|"&amp;TEXT(D134,"0.00")&amp;"|"&amp;LOWER(E134)&amp;"|"&amp;K134)</f>
        <v/>
      </c>
    </row>
    <row r="135">
      <c r="B135" s="45" t="n"/>
      <c r="C135" s="46" t="n"/>
      <c r="D135" s="47" t="n"/>
      <c r="M135" s="48" t="n"/>
      <c r="O135">
        <f>IF(OR(B135="",D135="",E135=""),"",TEXT(B135,"yyyymmdd")&amp;"|"&amp;TEXT(D135,"0.00")&amp;"|"&amp;LOWER(E135)&amp;"|"&amp;K135)</f>
        <v/>
      </c>
    </row>
    <row r="136">
      <c r="B136" s="45" t="n"/>
      <c r="C136" s="46" t="n"/>
      <c r="D136" s="47" t="n"/>
      <c r="M136" s="48" t="n"/>
      <c r="O136">
        <f>IF(OR(B136="",D136="",E136=""),"",TEXT(B136,"yyyymmdd")&amp;"|"&amp;TEXT(D136,"0.00")&amp;"|"&amp;LOWER(E136)&amp;"|"&amp;K136)</f>
        <v/>
      </c>
    </row>
    <row r="137">
      <c r="B137" s="45" t="n"/>
      <c r="C137" s="46" t="n"/>
      <c r="D137" s="47" t="n"/>
      <c r="M137" s="48" t="n"/>
      <c r="O137">
        <f>IF(OR(B137="",D137="",E137=""),"",TEXT(B137,"yyyymmdd")&amp;"|"&amp;TEXT(D137,"0.00")&amp;"|"&amp;LOWER(E137)&amp;"|"&amp;K137)</f>
        <v/>
      </c>
    </row>
    <row r="138">
      <c r="B138" s="45" t="n"/>
      <c r="C138" s="46" t="n"/>
      <c r="D138" s="47" t="n"/>
      <c r="M138" s="48" t="n"/>
      <c r="O138">
        <f>IF(OR(B138="",D138="",E138=""),"",TEXT(B138,"yyyymmdd")&amp;"|"&amp;TEXT(D138,"0.00")&amp;"|"&amp;LOWER(E138)&amp;"|"&amp;K138)</f>
        <v/>
      </c>
    </row>
    <row r="139">
      <c r="B139" s="45" t="n"/>
      <c r="C139" s="46" t="n"/>
      <c r="D139" s="47" t="n"/>
      <c r="M139" s="48" t="n"/>
      <c r="O139">
        <f>IF(OR(B139="",D139="",E139=""),"",TEXT(B139,"yyyymmdd")&amp;"|"&amp;TEXT(D139,"0.00")&amp;"|"&amp;LOWER(E139)&amp;"|"&amp;K139)</f>
        <v/>
      </c>
    </row>
    <row r="140">
      <c r="B140" s="45" t="n"/>
      <c r="C140" s="46" t="n"/>
      <c r="D140" s="47" t="n"/>
      <c r="M140" s="48" t="n"/>
      <c r="O140">
        <f>IF(OR(B140="",D140="",E140=""),"",TEXT(B140,"yyyymmdd")&amp;"|"&amp;TEXT(D140,"0.00")&amp;"|"&amp;LOWER(E140)&amp;"|"&amp;K140)</f>
        <v/>
      </c>
    </row>
    <row r="141">
      <c r="B141" s="45" t="n"/>
      <c r="C141" s="46" t="n"/>
      <c r="D141" s="47" t="n"/>
      <c r="M141" s="48" t="n"/>
      <c r="O141">
        <f>IF(OR(B141="",D141="",E141=""),"",TEXT(B141,"yyyymmdd")&amp;"|"&amp;TEXT(D141,"0.00")&amp;"|"&amp;LOWER(E141)&amp;"|"&amp;K141)</f>
        <v/>
      </c>
    </row>
    <row r="142">
      <c r="B142" s="45" t="n"/>
      <c r="C142" s="46" t="n"/>
      <c r="D142" s="47" t="n"/>
      <c r="M142" s="48" t="n"/>
      <c r="O142">
        <f>IF(OR(B142="",D142="",E142=""),"",TEXT(B142,"yyyymmdd")&amp;"|"&amp;TEXT(D142,"0.00")&amp;"|"&amp;LOWER(E142)&amp;"|"&amp;K142)</f>
        <v/>
      </c>
    </row>
    <row r="143">
      <c r="B143" s="45" t="n"/>
      <c r="C143" s="46" t="n"/>
      <c r="D143" s="47" t="n"/>
      <c r="M143" s="48" t="n"/>
      <c r="O143">
        <f>IF(OR(B143="",D143="",E143=""),"",TEXT(B143,"yyyymmdd")&amp;"|"&amp;TEXT(D143,"0.00")&amp;"|"&amp;LOWER(E143)&amp;"|"&amp;K143)</f>
        <v/>
      </c>
    </row>
    <row r="144">
      <c r="B144" s="45" t="n"/>
      <c r="C144" s="46" t="n"/>
      <c r="D144" s="47" t="n"/>
      <c r="M144" s="48" t="n"/>
      <c r="O144">
        <f>IF(OR(B144="",D144="",E144=""),"",TEXT(B144,"yyyymmdd")&amp;"|"&amp;TEXT(D144,"0.00")&amp;"|"&amp;LOWER(E144)&amp;"|"&amp;K144)</f>
        <v/>
      </c>
    </row>
    <row r="145">
      <c r="B145" s="45" t="n"/>
      <c r="C145" s="46" t="n"/>
      <c r="D145" s="47" t="n"/>
      <c r="M145" s="48" t="n"/>
      <c r="O145">
        <f>IF(OR(B145="",D145="",E145=""),"",TEXT(B145,"yyyymmdd")&amp;"|"&amp;TEXT(D145,"0.00")&amp;"|"&amp;LOWER(E145)&amp;"|"&amp;K145)</f>
        <v/>
      </c>
    </row>
    <row r="146">
      <c r="B146" s="45" t="n"/>
      <c r="C146" s="46" t="n"/>
      <c r="D146" s="47" t="n"/>
      <c r="M146" s="48" t="n"/>
      <c r="O146">
        <f>IF(OR(B146="",D146="",E146=""),"",TEXT(B146,"yyyymmdd")&amp;"|"&amp;TEXT(D146,"0.00")&amp;"|"&amp;LOWER(E146)&amp;"|"&amp;K146)</f>
        <v/>
      </c>
    </row>
    <row r="147">
      <c r="B147" s="45" t="n"/>
      <c r="C147" s="46" t="n"/>
      <c r="D147" s="47" t="n"/>
      <c r="M147" s="48" t="n"/>
      <c r="O147">
        <f>IF(OR(B147="",D147="",E147=""),"",TEXT(B147,"yyyymmdd")&amp;"|"&amp;TEXT(D147,"0.00")&amp;"|"&amp;LOWER(E147)&amp;"|"&amp;K147)</f>
        <v/>
      </c>
    </row>
    <row r="148">
      <c r="B148" s="45" t="n"/>
      <c r="C148" s="46" t="n"/>
      <c r="D148" s="47" t="n"/>
      <c r="M148" s="48" t="n"/>
      <c r="O148">
        <f>IF(OR(B148="",D148="",E148=""),"",TEXT(B148,"yyyymmdd")&amp;"|"&amp;TEXT(D148,"0.00")&amp;"|"&amp;LOWER(E148)&amp;"|"&amp;K148)</f>
        <v/>
      </c>
    </row>
    <row r="149">
      <c r="B149" s="45" t="n"/>
      <c r="C149" s="46" t="n"/>
      <c r="D149" s="47" t="n"/>
      <c r="M149" s="48" t="n"/>
      <c r="O149">
        <f>IF(OR(B149="",D149="",E149=""),"",TEXT(B149,"yyyymmdd")&amp;"|"&amp;TEXT(D149,"0.00")&amp;"|"&amp;LOWER(E149)&amp;"|"&amp;K149)</f>
        <v/>
      </c>
    </row>
    <row r="150">
      <c r="B150" s="45" t="n"/>
      <c r="C150" s="46" t="n"/>
      <c r="D150" s="47" t="n"/>
      <c r="M150" s="48" t="n"/>
      <c r="O150">
        <f>IF(OR(B150="",D150="",E150=""),"",TEXT(B150,"yyyymmdd")&amp;"|"&amp;TEXT(D150,"0.00")&amp;"|"&amp;LOWER(E150)&amp;"|"&amp;K150)</f>
        <v/>
      </c>
    </row>
    <row r="151">
      <c r="B151" s="45" t="n"/>
      <c r="C151" s="46" t="n"/>
      <c r="D151" s="47" t="n"/>
      <c r="M151" s="48" t="n"/>
      <c r="O151">
        <f>IF(OR(B151="",D151="",E151=""),"",TEXT(B151,"yyyymmdd")&amp;"|"&amp;TEXT(D151,"0.00")&amp;"|"&amp;LOWER(E151)&amp;"|"&amp;K151)</f>
        <v/>
      </c>
    </row>
    <row r="152">
      <c r="B152" s="45" t="n"/>
      <c r="C152" s="46" t="n"/>
      <c r="D152" s="47" t="n"/>
      <c r="M152" s="48" t="n"/>
      <c r="O152">
        <f>IF(OR(B152="",D152="",E152=""),"",TEXT(B152,"yyyymmdd")&amp;"|"&amp;TEXT(D152,"0.00")&amp;"|"&amp;LOWER(E152)&amp;"|"&amp;K152)</f>
        <v/>
      </c>
    </row>
    <row r="153">
      <c r="B153" s="45" t="n"/>
      <c r="C153" s="46" t="n"/>
      <c r="D153" s="47" t="n"/>
      <c r="M153" s="48" t="n"/>
      <c r="O153">
        <f>IF(OR(B153="",D153="",E153=""),"",TEXT(B153,"yyyymmdd")&amp;"|"&amp;TEXT(D153,"0.00")&amp;"|"&amp;LOWER(E153)&amp;"|"&amp;K153)</f>
        <v/>
      </c>
    </row>
    <row r="154">
      <c r="B154" s="45" t="n"/>
      <c r="C154" s="46" t="n"/>
      <c r="D154" s="47" t="n"/>
      <c r="M154" s="48" t="n"/>
      <c r="O154">
        <f>IF(OR(B154="",D154="",E154=""),"",TEXT(B154,"yyyymmdd")&amp;"|"&amp;TEXT(D154,"0.00")&amp;"|"&amp;LOWER(E154)&amp;"|"&amp;K154)</f>
        <v/>
      </c>
    </row>
    <row r="155">
      <c r="B155" s="45" t="n"/>
      <c r="C155" s="46" t="n"/>
      <c r="D155" s="47" t="n"/>
      <c r="M155" s="48" t="n"/>
      <c r="O155">
        <f>IF(OR(B155="",D155="",E155=""),"",TEXT(B155,"yyyymmdd")&amp;"|"&amp;TEXT(D155,"0.00")&amp;"|"&amp;LOWER(E155)&amp;"|"&amp;K155)</f>
        <v/>
      </c>
    </row>
    <row r="156">
      <c r="B156" s="45" t="n"/>
      <c r="C156" s="46" t="n"/>
      <c r="D156" s="47" t="n"/>
      <c r="M156" s="48" t="n"/>
      <c r="O156">
        <f>IF(OR(B156="",D156="",E156=""),"",TEXT(B156,"yyyymmdd")&amp;"|"&amp;TEXT(D156,"0.00")&amp;"|"&amp;LOWER(E156)&amp;"|"&amp;K156)</f>
        <v/>
      </c>
    </row>
    <row r="157">
      <c r="B157" s="45" t="n"/>
      <c r="C157" s="46" t="n"/>
      <c r="D157" s="47" t="n"/>
      <c r="M157" s="48" t="n"/>
      <c r="O157">
        <f>IF(OR(B157="",D157="",E157=""),"",TEXT(B157,"yyyymmdd")&amp;"|"&amp;TEXT(D157,"0.00")&amp;"|"&amp;LOWER(E157)&amp;"|"&amp;K157)</f>
        <v/>
      </c>
    </row>
    <row r="158">
      <c r="B158" s="45" t="n"/>
      <c r="C158" s="46" t="n"/>
      <c r="D158" s="47" t="n"/>
      <c r="M158" s="48" t="n"/>
      <c r="O158">
        <f>IF(OR(B158="",D158="",E158=""),"",TEXT(B158,"yyyymmdd")&amp;"|"&amp;TEXT(D158,"0.00")&amp;"|"&amp;LOWER(E158)&amp;"|"&amp;K158)</f>
        <v/>
      </c>
    </row>
    <row r="159">
      <c r="B159" s="45" t="n"/>
      <c r="C159" s="46" t="n"/>
      <c r="D159" s="47" t="n"/>
      <c r="M159" s="48" t="n"/>
      <c r="O159">
        <f>IF(OR(B159="",D159="",E159=""),"",TEXT(B159,"yyyymmdd")&amp;"|"&amp;TEXT(D159,"0.00")&amp;"|"&amp;LOWER(E159)&amp;"|"&amp;K159)</f>
        <v/>
      </c>
    </row>
    <row r="160">
      <c r="B160" s="45" t="n"/>
      <c r="C160" s="46" t="n"/>
      <c r="D160" s="47" t="n"/>
      <c r="M160" s="48" t="n"/>
      <c r="O160">
        <f>IF(OR(B160="",D160="",E160=""),"",TEXT(B160,"yyyymmdd")&amp;"|"&amp;TEXT(D160,"0.00")&amp;"|"&amp;LOWER(E160)&amp;"|"&amp;K160)</f>
        <v/>
      </c>
    </row>
    <row r="161">
      <c r="B161" s="45" t="n"/>
      <c r="C161" s="46" t="n"/>
      <c r="D161" s="47" t="n"/>
      <c r="M161" s="48" t="n"/>
      <c r="O161">
        <f>IF(OR(B161="",D161="",E161=""),"",TEXT(B161,"yyyymmdd")&amp;"|"&amp;TEXT(D161,"0.00")&amp;"|"&amp;LOWER(E161)&amp;"|"&amp;K161)</f>
        <v/>
      </c>
    </row>
    <row r="162">
      <c r="B162" s="45" t="n"/>
      <c r="C162" s="46" t="n"/>
      <c r="D162" s="47" t="n"/>
      <c r="M162" s="48" t="n"/>
      <c r="O162">
        <f>IF(OR(B162="",D162="",E162=""),"",TEXT(B162,"yyyymmdd")&amp;"|"&amp;TEXT(D162,"0.00")&amp;"|"&amp;LOWER(E162)&amp;"|"&amp;K162)</f>
        <v/>
      </c>
    </row>
    <row r="163">
      <c r="B163" s="45" t="n"/>
      <c r="C163" s="46" t="n"/>
      <c r="D163" s="47" t="n"/>
      <c r="M163" s="48" t="n"/>
      <c r="O163">
        <f>IF(OR(B163="",D163="",E163=""),"",TEXT(B163,"yyyymmdd")&amp;"|"&amp;TEXT(D163,"0.00")&amp;"|"&amp;LOWER(E163)&amp;"|"&amp;K163)</f>
        <v/>
      </c>
    </row>
    <row r="164">
      <c r="B164" s="45" t="n"/>
      <c r="C164" s="46" t="n"/>
      <c r="D164" s="47" t="n"/>
      <c r="M164" s="48" t="n"/>
      <c r="O164">
        <f>IF(OR(B164="",D164="",E164=""),"",TEXT(B164,"yyyymmdd")&amp;"|"&amp;TEXT(D164,"0.00")&amp;"|"&amp;LOWER(E164)&amp;"|"&amp;K164)</f>
        <v/>
      </c>
    </row>
    <row r="165">
      <c r="B165" s="45" t="n"/>
      <c r="C165" s="46" t="n"/>
      <c r="D165" s="47" t="n"/>
      <c r="M165" s="48" t="n"/>
      <c r="O165">
        <f>IF(OR(B165="",D165="",E165=""),"",TEXT(B165,"yyyymmdd")&amp;"|"&amp;TEXT(D165,"0.00")&amp;"|"&amp;LOWER(E165)&amp;"|"&amp;K165)</f>
        <v/>
      </c>
    </row>
    <row r="166">
      <c r="B166" s="45" t="n"/>
      <c r="C166" s="46" t="n"/>
      <c r="D166" s="47" t="n"/>
      <c r="M166" s="48" t="n"/>
      <c r="O166">
        <f>IF(OR(B166="",D166="",E166=""),"",TEXT(B166,"yyyymmdd")&amp;"|"&amp;TEXT(D166,"0.00")&amp;"|"&amp;LOWER(E166)&amp;"|"&amp;K166)</f>
        <v/>
      </c>
    </row>
    <row r="167">
      <c r="B167" s="45" t="n"/>
      <c r="C167" s="46" t="n"/>
      <c r="D167" s="47" t="n"/>
      <c r="M167" s="48" t="n"/>
      <c r="O167">
        <f>IF(OR(B167="",D167="",E167=""),"",TEXT(B167,"yyyymmdd")&amp;"|"&amp;TEXT(D167,"0.00")&amp;"|"&amp;LOWER(E167)&amp;"|"&amp;K167)</f>
        <v/>
      </c>
    </row>
    <row r="168">
      <c r="B168" s="45" t="n"/>
      <c r="C168" s="46" t="n"/>
      <c r="D168" s="47" t="n"/>
      <c r="M168" s="48" t="n"/>
      <c r="O168">
        <f>IF(OR(B168="",D168="",E168=""),"",TEXT(B168,"yyyymmdd")&amp;"|"&amp;TEXT(D168,"0.00")&amp;"|"&amp;LOWER(E168)&amp;"|"&amp;K168)</f>
        <v/>
      </c>
    </row>
    <row r="169">
      <c r="B169" s="45" t="n"/>
      <c r="C169" s="46" t="n"/>
      <c r="D169" s="47" t="n"/>
      <c r="M169" s="48" t="n"/>
      <c r="O169">
        <f>IF(OR(B169="",D169="",E169=""),"",TEXT(B169,"yyyymmdd")&amp;"|"&amp;TEXT(D169,"0.00")&amp;"|"&amp;LOWER(E169)&amp;"|"&amp;K169)</f>
        <v/>
      </c>
    </row>
    <row r="170">
      <c r="B170" s="45" t="n"/>
      <c r="C170" s="46" t="n"/>
      <c r="D170" s="47" t="n"/>
      <c r="M170" s="48" t="n"/>
      <c r="O170">
        <f>IF(OR(B170="",D170="",E170=""),"",TEXT(B170,"yyyymmdd")&amp;"|"&amp;TEXT(D170,"0.00")&amp;"|"&amp;LOWER(E170)&amp;"|"&amp;K170)</f>
        <v/>
      </c>
    </row>
    <row r="171">
      <c r="B171" s="45" t="n"/>
      <c r="C171" s="46" t="n"/>
      <c r="D171" s="47" t="n"/>
      <c r="M171" s="48" t="n"/>
      <c r="O171">
        <f>IF(OR(B171="",D171="",E171=""),"",TEXT(B171,"yyyymmdd")&amp;"|"&amp;TEXT(D171,"0.00")&amp;"|"&amp;LOWER(E171)&amp;"|"&amp;K171)</f>
        <v/>
      </c>
    </row>
    <row r="172">
      <c r="B172" s="45" t="n"/>
      <c r="C172" s="46" t="n"/>
      <c r="D172" s="47" t="n"/>
      <c r="M172" s="48" t="n"/>
      <c r="O172">
        <f>IF(OR(B172="",D172="",E172=""),"",TEXT(B172,"yyyymmdd")&amp;"|"&amp;TEXT(D172,"0.00")&amp;"|"&amp;LOWER(E172)&amp;"|"&amp;K172)</f>
        <v/>
      </c>
    </row>
    <row r="173">
      <c r="B173" s="45" t="n"/>
      <c r="C173" s="46" t="n"/>
      <c r="D173" s="47" t="n"/>
      <c r="M173" s="48" t="n"/>
      <c r="O173">
        <f>IF(OR(B173="",D173="",E173=""),"",TEXT(B173,"yyyymmdd")&amp;"|"&amp;TEXT(D173,"0.00")&amp;"|"&amp;LOWER(E173)&amp;"|"&amp;K173)</f>
        <v/>
      </c>
    </row>
    <row r="174">
      <c r="B174" s="45" t="n"/>
      <c r="C174" s="46" t="n"/>
      <c r="D174" s="47" t="n"/>
      <c r="M174" s="48" t="n"/>
      <c r="O174">
        <f>IF(OR(B174="",D174="",E174=""),"",TEXT(B174,"yyyymmdd")&amp;"|"&amp;TEXT(D174,"0.00")&amp;"|"&amp;LOWER(E174)&amp;"|"&amp;K174)</f>
        <v/>
      </c>
    </row>
    <row r="175">
      <c r="B175" s="45" t="n"/>
      <c r="C175" s="46" t="n"/>
      <c r="D175" s="47" t="n"/>
      <c r="M175" s="48" t="n"/>
      <c r="O175">
        <f>IF(OR(B175="",D175="",E175=""),"",TEXT(B175,"yyyymmdd")&amp;"|"&amp;TEXT(D175,"0.00")&amp;"|"&amp;LOWER(E175)&amp;"|"&amp;K175)</f>
        <v/>
      </c>
    </row>
    <row r="176">
      <c r="B176" s="45" t="n"/>
      <c r="C176" s="46" t="n"/>
      <c r="D176" s="47" t="n"/>
      <c r="M176" s="48" t="n"/>
      <c r="O176">
        <f>IF(OR(B176="",D176="",E176=""),"",TEXT(B176,"yyyymmdd")&amp;"|"&amp;TEXT(D176,"0.00")&amp;"|"&amp;LOWER(E176)&amp;"|"&amp;K176)</f>
        <v/>
      </c>
    </row>
    <row r="177">
      <c r="B177" s="45" t="n"/>
      <c r="C177" s="46" t="n"/>
      <c r="D177" s="47" t="n"/>
      <c r="M177" s="48" t="n"/>
      <c r="O177">
        <f>IF(OR(B177="",D177="",E177=""),"",TEXT(B177,"yyyymmdd")&amp;"|"&amp;TEXT(D177,"0.00")&amp;"|"&amp;LOWER(E177)&amp;"|"&amp;K177)</f>
        <v/>
      </c>
    </row>
    <row r="178">
      <c r="B178" s="45" t="n"/>
      <c r="C178" s="46" t="n"/>
      <c r="D178" s="47" t="n"/>
      <c r="M178" s="48" t="n"/>
      <c r="O178">
        <f>IF(OR(B178="",D178="",E178=""),"",TEXT(B178,"yyyymmdd")&amp;"|"&amp;TEXT(D178,"0.00")&amp;"|"&amp;LOWER(E178)&amp;"|"&amp;K178)</f>
        <v/>
      </c>
    </row>
    <row r="179">
      <c r="B179" s="45" t="n"/>
      <c r="C179" s="46" t="n"/>
      <c r="D179" s="47" t="n"/>
      <c r="M179" s="48" t="n"/>
      <c r="O179">
        <f>IF(OR(B179="",D179="",E179=""),"",TEXT(B179,"yyyymmdd")&amp;"|"&amp;TEXT(D179,"0.00")&amp;"|"&amp;LOWER(E179)&amp;"|"&amp;K179)</f>
        <v/>
      </c>
    </row>
    <row r="180">
      <c r="B180" s="45" t="n"/>
      <c r="C180" s="46" t="n"/>
      <c r="D180" s="47" t="n"/>
      <c r="M180" s="48" t="n"/>
      <c r="O180">
        <f>IF(OR(B180="",D180="",E180=""),"",TEXT(B180,"yyyymmdd")&amp;"|"&amp;TEXT(D180,"0.00")&amp;"|"&amp;LOWER(E180)&amp;"|"&amp;K180)</f>
        <v/>
      </c>
    </row>
    <row r="181">
      <c r="B181" s="45" t="n"/>
      <c r="C181" s="46" t="n"/>
      <c r="D181" s="47" t="n"/>
      <c r="M181" s="48" t="n"/>
      <c r="O181">
        <f>IF(OR(B181="",D181="",E181=""),"",TEXT(B181,"yyyymmdd")&amp;"|"&amp;TEXT(D181,"0.00")&amp;"|"&amp;LOWER(E181)&amp;"|"&amp;K181)</f>
        <v/>
      </c>
    </row>
    <row r="182">
      <c r="B182" s="45" t="n"/>
      <c r="C182" s="46" t="n"/>
      <c r="D182" s="47" t="n"/>
      <c r="M182" s="48" t="n"/>
      <c r="O182">
        <f>IF(OR(B182="",D182="",E182=""),"",TEXT(B182,"yyyymmdd")&amp;"|"&amp;TEXT(D182,"0.00")&amp;"|"&amp;LOWER(E182)&amp;"|"&amp;K182)</f>
        <v/>
      </c>
    </row>
    <row r="183">
      <c r="B183" s="45" t="n"/>
      <c r="C183" s="46" t="n"/>
      <c r="D183" s="47" t="n"/>
      <c r="M183" s="48" t="n"/>
      <c r="O183">
        <f>IF(OR(B183="",D183="",E183=""),"",TEXT(B183,"yyyymmdd")&amp;"|"&amp;TEXT(D183,"0.00")&amp;"|"&amp;LOWER(E183)&amp;"|"&amp;K183)</f>
        <v/>
      </c>
    </row>
    <row r="184">
      <c r="B184" s="45" t="n"/>
      <c r="C184" s="46" t="n"/>
      <c r="D184" s="47" t="n"/>
      <c r="M184" s="48" t="n"/>
      <c r="O184">
        <f>IF(OR(B184="",D184="",E184=""),"",TEXT(B184,"yyyymmdd")&amp;"|"&amp;TEXT(D184,"0.00")&amp;"|"&amp;LOWER(E184)&amp;"|"&amp;K184)</f>
        <v/>
      </c>
    </row>
    <row r="185">
      <c r="B185" s="45" t="n"/>
      <c r="C185" s="46" t="n"/>
      <c r="D185" s="47" t="n"/>
      <c r="M185" s="48" t="n"/>
      <c r="O185">
        <f>IF(OR(B185="",D185="",E185=""),"",TEXT(B185,"yyyymmdd")&amp;"|"&amp;TEXT(D185,"0.00")&amp;"|"&amp;LOWER(E185)&amp;"|"&amp;K185)</f>
        <v/>
      </c>
    </row>
    <row r="186">
      <c r="B186" s="45" t="n"/>
      <c r="C186" s="46" t="n"/>
      <c r="D186" s="47" t="n"/>
      <c r="M186" s="48" t="n"/>
      <c r="O186">
        <f>IF(OR(B186="",D186="",E186=""),"",TEXT(B186,"yyyymmdd")&amp;"|"&amp;TEXT(D186,"0.00")&amp;"|"&amp;LOWER(E186)&amp;"|"&amp;K186)</f>
        <v/>
      </c>
    </row>
    <row r="187">
      <c r="B187" s="45" t="n"/>
      <c r="C187" s="46" t="n"/>
      <c r="D187" s="47" t="n"/>
      <c r="M187" s="48" t="n"/>
      <c r="O187">
        <f>IF(OR(B187="",D187="",E187=""),"",TEXT(B187,"yyyymmdd")&amp;"|"&amp;TEXT(D187,"0.00")&amp;"|"&amp;LOWER(E187)&amp;"|"&amp;K187)</f>
        <v/>
      </c>
    </row>
    <row r="188">
      <c r="B188" s="45" t="n"/>
      <c r="C188" s="46" t="n"/>
      <c r="D188" s="47" t="n"/>
      <c r="M188" s="48" t="n"/>
      <c r="O188">
        <f>IF(OR(B188="",D188="",E188=""),"",TEXT(B188,"yyyymmdd")&amp;"|"&amp;TEXT(D188,"0.00")&amp;"|"&amp;LOWER(E188)&amp;"|"&amp;K188)</f>
        <v/>
      </c>
    </row>
    <row r="189">
      <c r="B189" s="45" t="n"/>
      <c r="C189" s="46" t="n"/>
      <c r="D189" s="47" t="n"/>
      <c r="M189" s="48" t="n"/>
      <c r="O189">
        <f>IF(OR(B189="",D189="",E189=""),"",TEXT(B189,"yyyymmdd")&amp;"|"&amp;TEXT(D189,"0.00")&amp;"|"&amp;LOWER(E189)&amp;"|"&amp;K189)</f>
        <v/>
      </c>
    </row>
    <row r="190">
      <c r="B190" s="45" t="n"/>
      <c r="C190" s="46" t="n"/>
      <c r="D190" s="47" t="n"/>
      <c r="M190" s="48" t="n"/>
      <c r="O190">
        <f>IF(OR(B190="",D190="",E190=""),"",TEXT(B190,"yyyymmdd")&amp;"|"&amp;TEXT(D190,"0.00")&amp;"|"&amp;LOWER(E190)&amp;"|"&amp;K190)</f>
        <v/>
      </c>
    </row>
    <row r="191">
      <c r="B191" s="45" t="n"/>
      <c r="C191" s="46" t="n"/>
      <c r="D191" s="47" t="n"/>
      <c r="M191" s="48" t="n"/>
      <c r="O191">
        <f>IF(OR(B191="",D191="",E191=""),"",TEXT(B191,"yyyymmdd")&amp;"|"&amp;TEXT(D191,"0.00")&amp;"|"&amp;LOWER(E191)&amp;"|"&amp;K191)</f>
        <v/>
      </c>
    </row>
    <row r="192">
      <c r="B192" s="45" t="n"/>
      <c r="C192" s="46" t="n"/>
      <c r="D192" s="47" t="n"/>
      <c r="M192" s="48" t="n"/>
      <c r="O192">
        <f>IF(OR(B192="",D192="",E192=""),"",TEXT(B192,"yyyymmdd")&amp;"|"&amp;TEXT(D192,"0.00")&amp;"|"&amp;LOWER(E192)&amp;"|"&amp;K192)</f>
        <v/>
      </c>
    </row>
    <row r="193">
      <c r="B193" s="45" t="n"/>
      <c r="C193" s="46" t="n"/>
      <c r="D193" s="47" t="n"/>
      <c r="M193" s="48" t="n"/>
      <c r="O193">
        <f>IF(OR(B193="",D193="",E193=""),"",TEXT(B193,"yyyymmdd")&amp;"|"&amp;TEXT(D193,"0.00")&amp;"|"&amp;LOWER(E193)&amp;"|"&amp;K193)</f>
        <v/>
      </c>
    </row>
    <row r="194">
      <c r="B194" s="45" t="n"/>
      <c r="C194" s="46" t="n"/>
      <c r="D194" s="47" t="n"/>
      <c r="M194" s="48" t="n"/>
      <c r="O194">
        <f>IF(OR(B194="",D194="",E194=""),"",TEXT(B194,"yyyymmdd")&amp;"|"&amp;TEXT(D194,"0.00")&amp;"|"&amp;LOWER(E194)&amp;"|"&amp;K194)</f>
        <v/>
      </c>
    </row>
    <row r="195">
      <c r="B195" s="45" t="n"/>
      <c r="C195" s="46" t="n"/>
      <c r="D195" s="47" t="n"/>
      <c r="M195" s="48" t="n"/>
      <c r="O195">
        <f>IF(OR(B195="",D195="",E195=""),"",TEXT(B195,"yyyymmdd")&amp;"|"&amp;TEXT(D195,"0.00")&amp;"|"&amp;LOWER(E195)&amp;"|"&amp;K195)</f>
        <v/>
      </c>
    </row>
    <row r="196">
      <c r="B196" s="45" t="n"/>
      <c r="C196" s="46" t="n"/>
      <c r="D196" s="47" t="n"/>
      <c r="M196" s="48" t="n"/>
      <c r="O196">
        <f>IF(OR(B196="",D196="",E196=""),"",TEXT(B196,"yyyymmdd")&amp;"|"&amp;TEXT(D196,"0.00")&amp;"|"&amp;LOWER(E196)&amp;"|"&amp;K196)</f>
        <v/>
      </c>
    </row>
    <row r="197">
      <c r="B197" s="45" t="n"/>
      <c r="C197" s="46" t="n"/>
      <c r="D197" s="47" t="n"/>
      <c r="M197" s="48" t="n"/>
      <c r="O197">
        <f>IF(OR(B197="",D197="",E197=""),"",TEXT(B197,"yyyymmdd")&amp;"|"&amp;TEXT(D197,"0.00")&amp;"|"&amp;LOWER(E197)&amp;"|"&amp;K197)</f>
        <v/>
      </c>
    </row>
    <row r="198">
      <c r="B198" s="45" t="n"/>
      <c r="C198" s="46" t="n"/>
      <c r="D198" s="47" t="n"/>
      <c r="M198" s="48" t="n"/>
      <c r="O198">
        <f>IF(OR(B198="",D198="",E198=""),"",TEXT(B198,"yyyymmdd")&amp;"|"&amp;TEXT(D198,"0.00")&amp;"|"&amp;LOWER(E198)&amp;"|"&amp;K198)</f>
        <v/>
      </c>
    </row>
    <row r="199">
      <c r="B199" s="45" t="n"/>
      <c r="C199" s="46" t="n"/>
      <c r="D199" s="47" t="n"/>
      <c r="M199" s="48" t="n"/>
      <c r="O199">
        <f>IF(OR(B199="",D199="",E199=""),"",TEXT(B199,"yyyymmdd")&amp;"|"&amp;TEXT(D199,"0.00")&amp;"|"&amp;LOWER(E199)&amp;"|"&amp;K199)</f>
        <v/>
      </c>
    </row>
    <row r="200">
      <c r="B200" s="45" t="n"/>
      <c r="C200" s="46" t="n"/>
      <c r="D200" s="47" t="n"/>
      <c r="M200" s="48" t="n"/>
      <c r="O200">
        <f>IF(OR(B200="",D200="",E200=""),"",TEXT(B200,"yyyymmdd")&amp;"|"&amp;TEXT(D200,"0.00")&amp;"|"&amp;LOWER(E200)&amp;"|"&amp;K200)</f>
        <v/>
      </c>
    </row>
    <row r="201">
      <c r="B201" s="45" t="n"/>
      <c r="C201" s="46" t="n"/>
      <c r="D201" s="47" t="n"/>
      <c r="M201" s="48" t="n"/>
      <c r="O201">
        <f>IF(OR(B201="",D201="",E201=""),"",TEXT(B201,"yyyymmdd")&amp;"|"&amp;TEXT(D201,"0.00")&amp;"|"&amp;LOWER(E201)&amp;"|"&amp;K201)</f>
        <v/>
      </c>
    </row>
    <row r="202">
      <c r="B202" s="45" t="n"/>
      <c r="C202" s="46" t="n"/>
      <c r="D202" s="47" t="n"/>
      <c r="M202" s="48" t="n"/>
      <c r="O202">
        <f>IF(OR(B202="",D202="",E202=""),"",TEXT(B202,"yyyymmdd")&amp;"|"&amp;TEXT(D202,"0.00")&amp;"|"&amp;LOWER(E202)&amp;"|"&amp;K202)</f>
        <v/>
      </c>
    </row>
    <row r="203">
      <c r="B203" s="45" t="n"/>
      <c r="C203" s="46" t="n"/>
      <c r="D203" s="47" t="n"/>
      <c r="M203" s="48" t="n"/>
      <c r="O203">
        <f>IF(OR(B203="",D203="",E203=""),"",TEXT(B203,"yyyymmdd")&amp;"|"&amp;TEXT(D203,"0.00")&amp;"|"&amp;LOWER(E203)&amp;"|"&amp;K203)</f>
        <v/>
      </c>
    </row>
    <row r="204">
      <c r="B204" s="45" t="n"/>
      <c r="C204" s="46" t="n"/>
      <c r="D204" s="47" t="n"/>
      <c r="M204" s="48" t="n"/>
      <c r="O204">
        <f>IF(OR(B204="",D204="",E204=""),"",TEXT(B204,"yyyymmdd")&amp;"|"&amp;TEXT(D204,"0.00")&amp;"|"&amp;LOWER(E204)&amp;"|"&amp;K204)</f>
        <v/>
      </c>
    </row>
    <row r="205">
      <c r="B205" s="45" t="n"/>
      <c r="C205" s="46" t="n"/>
      <c r="D205" s="47" t="n"/>
      <c r="M205" s="48" t="n"/>
      <c r="O205">
        <f>IF(OR(B205="",D205="",E205=""),"",TEXT(B205,"yyyymmdd")&amp;"|"&amp;TEXT(D205,"0.00")&amp;"|"&amp;LOWER(E205)&amp;"|"&amp;K205)</f>
        <v/>
      </c>
    </row>
    <row r="206">
      <c r="B206" s="45" t="n"/>
      <c r="C206" s="46" t="n"/>
      <c r="D206" s="47" t="n"/>
      <c r="M206" s="48" t="n"/>
      <c r="O206">
        <f>IF(OR(B206="",D206="",E206=""),"",TEXT(B206,"yyyymmdd")&amp;"|"&amp;TEXT(D206,"0.00")&amp;"|"&amp;LOWER(E206)&amp;"|"&amp;K206)</f>
        <v/>
      </c>
    </row>
    <row r="207">
      <c r="B207" s="45" t="n"/>
      <c r="C207" s="46" t="n"/>
      <c r="D207" s="47" t="n"/>
      <c r="M207" s="48" t="n"/>
      <c r="O207">
        <f>IF(OR(B207="",D207="",E207=""),"",TEXT(B207,"yyyymmdd")&amp;"|"&amp;TEXT(D207,"0.00")&amp;"|"&amp;LOWER(E207)&amp;"|"&amp;K207)</f>
        <v/>
      </c>
    </row>
    <row r="208">
      <c r="B208" s="45" t="n"/>
      <c r="C208" s="46" t="n"/>
      <c r="D208" s="47" t="n"/>
      <c r="M208" s="48" t="n"/>
      <c r="O208">
        <f>IF(OR(B208="",D208="",E208=""),"",TEXT(B208,"yyyymmdd")&amp;"|"&amp;TEXT(D208,"0.00")&amp;"|"&amp;LOWER(E208)&amp;"|"&amp;K208)</f>
        <v/>
      </c>
    </row>
    <row r="209">
      <c r="B209" s="45" t="n"/>
      <c r="C209" s="46" t="n"/>
      <c r="D209" s="47" t="n"/>
      <c r="M209" s="48" t="n"/>
      <c r="O209">
        <f>IF(OR(B209="",D209="",E209=""),"",TEXT(B209,"yyyymmdd")&amp;"|"&amp;TEXT(D209,"0.00")&amp;"|"&amp;LOWER(E209)&amp;"|"&amp;K209)</f>
        <v/>
      </c>
    </row>
    <row r="210">
      <c r="B210" s="45" t="n"/>
      <c r="C210" s="46" t="n"/>
      <c r="D210" s="47" t="n"/>
      <c r="M210" s="48" t="n"/>
      <c r="O210">
        <f>IF(OR(B210="",D210="",E210=""),"",TEXT(B210,"yyyymmdd")&amp;"|"&amp;TEXT(D210,"0.00")&amp;"|"&amp;LOWER(E210)&amp;"|"&amp;K210)</f>
        <v/>
      </c>
    </row>
    <row r="211">
      <c r="B211" s="45" t="n"/>
      <c r="C211" s="46" t="n"/>
      <c r="D211" s="47" t="n"/>
      <c r="M211" s="48" t="n"/>
      <c r="O211">
        <f>IF(OR(B211="",D211="",E211=""),"",TEXT(B211,"yyyymmdd")&amp;"|"&amp;TEXT(D211,"0.00")&amp;"|"&amp;LOWER(E211)&amp;"|"&amp;K211)</f>
        <v/>
      </c>
    </row>
    <row r="212">
      <c r="B212" s="45" t="n"/>
      <c r="C212" s="46" t="n"/>
      <c r="D212" s="47" t="n"/>
      <c r="M212" s="48" t="n"/>
      <c r="O212">
        <f>IF(OR(B212="",D212="",E212=""),"",TEXT(B212,"yyyymmdd")&amp;"|"&amp;TEXT(D212,"0.00")&amp;"|"&amp;LOWER(E212)&amp;"|"&amp;K212)</f>
        <v/>
      </c>
    </row>
    <row r="213">
      <c r="B213" s="45" t="n"/>
      <c r="C213" s="46" t="n"/>
      <c r="D213" s="47" t="n"/>
      <c r="M213" s="48" t="n"/>
      <c r="O213">
        <f>IF(OR(B213="",D213="",E213=""),"",TEXT(B213,"yyyymmdd")&amp;"|"&amp;TEXT(D213,"0.00")&amp;"|"&amp;LOWER(E213)&amp;"|"&amp;K213)</f>
        <v/>
      </c>
    </row>
    <row r="214">
      <c r="B214" s="45" t="n"/>
      <c r="C214" s="46" t="n"/>
      <c r="D214" s="47" t="n"/>
      <c r="M214" s="48" t="n"/>
      <c r="O214">
        <f>IF(OR(B214="",D214="",E214=""),"",TEXT(B214,"yyyymmdd")&amp;"|"&amp;TEXT(D214,"0.00")&amp;"|"&amp;LOWER(E214)&amp;"|"&amp;K214)</f>
        <v/>
      </c>
    </row>
    <row r="215">
      <c r="B215" s="45" t="n"/>
      <c r="C215" s="46" t="n"/>
      <c r="D215" s="47" t="n"/>
      <c r="M215" s="48" t="n"/>
      <c r="O215">
        <f>IF(OR(B215="",D215="",E215=""),"",TEXT(B215,"yyyymmdd")&amp;"|"&amp;TEXT(D215,"0.00")&amp;"|"&amp;LOWER(E215)&amp;"|"&amp;K215)</f>
        <v/>
      </c>
    </row>
    <row r="216">
      <c r="B216" s="45" t="n"/>
      <c r="C216" s="46" t="n"/>
      <c r="D216" s="47" t="n"/>
      <c r="M216" s="48" t="n"/>
      <c r="O216">
        <f>IF(OR(B216="",D216="",E216=""),"",TEXT(B216,"yyyymmdd")&amp;"|"&amp;TEXT(D216,"0.00")&amp;"|"&amp;LOWER(E216)&amp;"|"&amp;K216)</f>
        <v/>
      </c>
    </row>
    <row r="217">
      <c r="B217" s="45" t="n"/>
      <c r="C217" s="46" t="n"/>
      <c r="D217" s="47" t="n"/>
      <c r="M217" s="48" t="n"/>
      <c r="O217">
        <f>IF(OR(B217="",D217="",E217=""),"",TEXT(B217,"yyyymmdd")&amp;"|"&amp;TEXT(D217,"0.00")&amp;"|"&amp;LOWER(E217)&amp;"|"&amp;K217)</f>
        <v/>
      </c>
    </row>
    <row r="218">
      <c r="B218" s="45" t="n"/>
      <c r="C218" s="46" t="n"/>
      <c r="D218" s="47" t="n"/>
      <c r="M218" s="48" t="n"/>
      <c r="O218">
        <f>IF(OR(B218="",D218="",E218=""),"",TEXT(B218,"yyyymmdd")&amp;"|"&amp;TEXT(D218,"0.00")&amp;"|"&amp;LOWER(E218)&amp;"|"&amp;K218)</f>
        <v/>
      </c>
    </row>
    <row r="219">
      <c r="B219" s="45" t="n"/>
      <c r="C219" s="46" t="n"/>
      <c r="D219" s="47" t="n"/>
      <c r="M219" s="48" t="n"/>
      <c r="O219">
        <f>IF(OR(B219="",D219="",E219=""),"",TEXT(B219,"yyyymmdd")&amp;"|"&amp;TEXT(D219,"0.00")&amp;"|"&amp;LOWER(E219)&amp;"|"&amp;K219)</f>
        <v/>
      </c>
    </row>
    <row r="220">
      <c r="B220" s="45" t="n"/>
      <c r="C220" s="46" t="n"/>
      <c r="D220" s="47" t="n"/>
      <c r="M220" s="48" t="n"/>
      <c r="O220">
        <f>IF(OR(B220="",D220="",E220=""),"",TEXT(B220,"yyyymmdd")&amp;"|"&amp;TEXT(D220,"0.00")&amp;"|"&amp;LOWER(E220)&amp;"|"&amp;K220)</f>
        <v/>
      </c>
    </row>
    <row r="221">
      <c r="B221" s="45" t="n"/>
      <c r="C221" s="46" t="n"/>
      <c r="D221" s="47" t="n"/>
      <c r="M221" s="48" t="n"/>
      <c r="O221">
        <f>IF(OR(B221="",D221="",E221=""),"",TEXT(B221,"yyyymmdd")&amp;"|"&amp;TEXT(D221,"0.00")&amp;"|"&amp;LOWER(E221)&amp;"|"&amp;K221)</f>
        <v/>
      </c>
    </row>
    <row r="222">
      <c r="B222" s="45" t="n"/>
      <c r="C222" s="46" t="n"/>
      <c r="D222" s="47" t="n"/>
      <c r="M222" s="48" t="n"/>
      <c r="O222">
        <f>IF(OR(B222="",D222="",E222=""),"",TEXT(B222,"yyyymmdd")&amp;"|"&amp;TEXT(D222,"0.00")&amp;"|"&amp;LOWER(E222)&amp;"|"&amp;K222)</f>
        <v/>
      </c>
    </row>
    <row r="223">
      <c r="B223" s="45" t="n"/>
      <c r="C223" s="46" t="n"/>
      <c r="D223" s="47" t="n"/>
      <c r="M223" s="48" t="n"/>
      <c r="O223">
        <f>IF(OR(B223="",D223="",E223=""),"",TEXT(B223,"yyyymmdd")&amp;"|"&amp;TEXT(D223,"0.00")&amp;"|"&amp;LOWER(E223)&amp;"|"&amp;K223)</f>
        <v/>
      </c>
    </row>
    <row r="224">
      <c r="B224" s="45" t="n"/>
      <c r="C224" s="46" t="n"/>
      <c r="D224" s="47" t="n"/>
      <c r="M224" s="48" t="n"/>
      <c r="O224">
        <f>IF(OR(B224="",D224="",E224=""),"",TEXT(B224,"yyyymmdd")&amp;"|"&amp;TEXT(D224,"0.00")&amp;"|"&amp;LOWER(E224)&amp;"|"&amp;K224)</f>
        <v/>
      </c>
    </row>
    <row r="225">
      <c r="B225" s="45" t="n"/>
      <c r="C225" s="46" t="n"/>
      <c r="D225" s="47" t="n"/>
      <c r="M225" s="48" t="n"/>
      <c r="O225">
        <f>IF(OR(B225="",D225="",E225=""),"",TEXT(B225,"yyyymmdd")&amp;"|"&amp;TEXT(D225,"0.00")&amp;"|"&amp;LOWER(E225)&amp;"|"&amp;K225)</f>
        <v/>
      </c>
    </row>
    <row r="226">
      <c r="B226" s="45" t="n"/>
      <c r="C226" s="46" t="n"/>
      <c r="D226" s="47" t="n"/>
      <c r="M226" s="48" t="n"/>
      <c r="O226">
        <f>IF(OR(B226="",D226="",E226=""),"",TEXT(B226,"yyyymmdd")&amp;"|"&amp;TEXT(D226,"0.00")&amp;"|"&amp;LOWER(E226)&amp;"|"&amp;K226)</f>
        <v/>
      </c>
    </row>
    <row r="227">
      <c r="B227" s="45" t="n"/>
      <c r="C227" s="46" t="n"/>
      <c r="D227" s="47" t="n"/>
      <c r="M227" s="48" t="n"/>
      <c r="O227">
        <f>IF(OR(B227="",D227="",E227=""),"",TEXT(B227,"yyyymmdd")&amp;"|"&amp;TEXT(D227,"0.00")&amp;"|"&amp;LOWER(E227)&amp;"|"&amp;K227)</f>
        <v/>
      </c>
    </row>
    <row r="228">
      <c r="B228" s="45" t="n"/>
      <c r="C228" s="46" t="n"/>
      <c r="D228" s="47" t="n"/>
      <c r="M228" s="48" t="n"/>
      <c r="O228">
        <f>IF(OR(B228="",D228="",E228=""),"",TEXT(B228,"yyyymmdd")&amp;"|"&amp;TEXT(D228,"0.00")&amp;"|"&amp;LOWER(E228)&amp;"|"&amp;K228)</f>
        <v/>
      </c>
    </row>
    <row r="229">
      <c r="B229" s="45" t="n"/>
      <c r="C229" s="46" t="n"/>
      <c r="D229" s="47" t="n"/>
      <c r="M229" s="48" t="n"/>
      <c r="O229">
        <f>IF(OR(B229="",D229="",E229=""),"",TEXT(B229,"yyyymmdd")&amp;"|"&amp;TEXT(D229,"0.00")&amp;"|"&amp;LOWER(E229)&amp;"|"&amp;K229)</f>
        <v/>
      </c>
    </row>
    <row r="230">
      <c r="B230" s="45" t="n"/>
      <c r="C230" s="46" t="n"/>
      <c r="D230" s="47" t="n"/>
      <c r="M230" s="48" t="n"/>
      <c r="O230">
        <f>IF(OR(B230="",D230="",E230=""),"",TEXT(B230,"yyyymmdd")&amp;"|"&amp;TEXT(D230,"0.00")&amp;"|"&amp;LOWER(E230)&amp;"|"&amp;K230)</f>
        <v/>
      </c>
    </row>
    <row r="231">
      <c r="B231" s="45" t="n"/>
      <c r="C231" s="46" t="n"/>
      <c r="D231" s="47" t="n"/>
      <c r="M231" s="48" t="n"/>
      <c r="O231">
        <f>IF(OR(B231="",D231="",E231=""),"",TEXT(B231,"yyyymmdd")&amp;"|"&amp;TEXT(D231,"0.00")&amp;"|"&amp;LOWER(E231)&amp;"|"&amp;K231)</f>
        <v/>
      </c>
    </row>
    <row r="232">
      <c r="B232" s="45" t="n"/>
      <c r="C232" s="46" t="n"/>
      <c r="D232" s="47" t="n"/>
      <c r="M232" s="48" t="n"/>
      <c r="O232">
        <f>IF(OR(B232="",D232="",E232=""),"",TEXT(B232,"yyyymmdd")&amp;"|"&amp;TEXT(D232,"0.00")&amp;"|"&amp;LOWER(E232)&amp;"|"&amp;K232)</f>
        <v/>
      </c>
    </row>
    <row r="233">
      <c r="B233" s="45" t="n"/>
      <c r="C233" s="46" t="n"/>
      <c r="D233" s="47" t="n"/>
      <c r="M233" s="48" t="n"/>
      <c r="O233">
        <f>IF(OR(B233="",D233="",E233=""),"",TEXT(B233,"yyyymmdd")&amp;"|"&amp;TEXT(D233,"0.00")&amp;"|"&amp;LOWER(E233)&amp;"|"&amp;K233)</f>
        <v/>
      </c>
    </row>
    <row r="234">
      <c r="B234" s="45" t="n"/>
      <c r="C234" s="46" t="n"/>
      <c r="D234" s="47" t="n"/>
      <c r="M234" s="48" t="n"/>
      <c r="O234">
        <f>IF(OR(B234="",D234="",E234=""),"",TEXT(B234,"yyyymmdd")&amp;"|"&amp;TEXT(D234,"0.00")&amp;"|"&amp;LOWER(E234)&amp;"|"&amp;K234)</f>
        <v/>
      </c>
    </row>
    <row r="235">
      <c r="B235" s="45" t="n"/>
      <c r="C235" s="46" t="n"/>
      <c r="D235" s="47" t="n"/>
      <c r="M235" s="48" t="n"/>
      <c r="O235">
        <f>IF(OR(B235="",D235="",E235=""),"",TEXT(B235,"yyyymmdd")&amp;"|"&amp;TEXT(D235,"0.00")&amp;"|"&amp;LOWER(E235)&amp;"|"&amp;K235)</f>
        <v/>
      </c>
    </row>
    <row r="236">
      <c r="B236" s="45" t="n"/>
      <c r="C236" s="46" t="n"/>
      <c r="D236" s="47" t="n"/>
      <c r="M236" s="48" t="n"/>
      <c r="O236">
        <f>IF(OR(B236="",D236="",E236=""),"",TEXT(B236,"yyyymmdd")&amp;"|"&amp;TEXT(D236,"0.00")&amp;"|"&amp;LOWER(E236)&amp;"|"&amp;K236)</f>
        <v/>
      </c>
    </row>
    <row r="237">
      <c r="B237" s="45" t="n"/>
      <c r="C237" s="46" t="n"/>
      <c r="D237" s="47" t="n"/>
      <c r="M237" s="48" t="n"/>
      <c r="O237">
        <f>IF(OR(B237="",D237="",E237=""),"",TEXT(B237,"yyyymmdd")&amp;"|"&amp;TEXT(D237,"0.00")&amp;"|"&amp;LOWER(E237)&amp;"|"&amp;K237)</f>
        <v/>
      </c>
    </row>
    <row r="238">
      <c r="B238" s="45" t="n"/>
      <c r="C238" s="46" t="n"/>
      <c r="D238" s="47" t="n"/>
      <c r="M238" s="48" t="n"/>
      <c r="O238">
        <f>IF(OR(B238="",D238="",E238=""),"",TEXT(B238,"yyyymmdd")&amp;"|"&amp;TEXT(D238,"0.00")&amp;"|"&amp;LOWER(E238)&amp;"|"&amp;K238)</f>
        <v/>
      </c>
    </row>
    <row r="239">
      <c r="B239" s="45" t="n"/>
      <c r="C239" s="46" t="n"/>
      <c r="D239" s="47" t="n"/>
      <c r="M239" s="48" t="n"/>
      <c r="O239">
        <f>IF(OR(B239="",D239="",E239=""),"",TEXT(B239,"yyyymmdd")&amp;"|"&amp;TEXT(D239,"0.00")&amp;"|"&amp;LOWER(E239)&amp;"|"&amp;K239)</f>
        <v/>
      </c>
    </row>
    <row r="240">
      <c r="B240" s="45" t="n"/>
      <c r="C240" s="46" t="n"/>
      <c r="D240" s="47" t="n"/>
      <c r="M240" s="48" t="n"/>
      <c r="O240">
        <f>IF(OR(B240="",D240="",E240=""),"",TEXT(B240,"yyyymmdd")&amp;"|"&amp;TEXT(D240,"0.00")&amp;"|"&amp;LOWER(E240)&amp;"|"&amp;K240)</f>
        <v/>
      </c>
    </row>
    <row r="241">
      <c r="B241" s="45" t="n"/>
      <c r="C241" s="46" t="n"/>
      <c r="D241" s="47" t="n"/>
      <c r="M241" s="48" t="n"/>
      <c r="O241">
        <f>IF(OR(B241="",D241="",E241=""),"",TEXT(B241,"yyyymmdd")&amp;"|"&amp;TEXT(D241,"0.00")&amp;"|"&amp;LOWER(E241)&amp;"|"&amp;K241)</f>
        <v/>
      </c>
    </row>
    <row r="242">
      <c r="B242" s="45" t="n"/>
      <c r="C242" s="46" t="n"/>
      <c r="D242" s="47" t="n"/>
      <c r="M242" s="48" t="n"/>
      <c r="O242">
        <f>IF(OR(B242="",D242="",E242=""),"",TEXT(B242,"yyyymmdd")&amp;"|"&amp;TEXT(D242,"0.00")&amp;"|"&amp;LOWER(E242)&amp;"|"&amp;K242)</f>
        <v/>
      </c>
    </row>
    <row r="243">
      <c r="B243" s="45" t="n"/>
      <c r="C243" s="46" t="n"/>
      <c r="D243" s="47" t="n"/>
      <c r="M243" s="48" t="n"/>
      <c r="O243">
        <f>IF(OR(B243="",D243="",E243=""),"",TEXT(B243,"yyyymmdd")&amp;"|"&amp;TEXT(D243,"0.00")&amp;"|"&amp;LOWER(E243)&amp;"|"&amp;K243)</f>
        <v/>
      </c>
    </row>
    <row r="244">
      <c r="B244" s="45" t="n"/>
      <c r="C244" s="46" t="n"/>
      <c r="D244" s="47" t="n"/>
      <c r="M244" s="48" t="n"/>
      <c r="O244">
        <f>IF(OR(B244="",D244="",E244=""),"",TEXT(B244,"yyyymmdd")&amp;"|"&amp;TEXT(D244,"0.00")&amp;"|"&amp;LOWER(E244)&amp;"|"&amp;K244)</f>
        <v/>
      </c>
    </row>
    <row r="245">
      <c r="B245" s="45" t="n"/>
      <c r="C245" s="46" t="n"/>
      <c r="D245" s="47" t="n"/>
      <c r="M245" s="48" t="n"/>
      <c r="O245">
        <f>IF(OR(B245="",D245="",E245=""),"",TEXT(B245,"yyyymmdd")&amp;"|"&amp;TEXT(D245,"0.00")&amp;"|"&amp;LOWER(E245)&amp;"|"&amp;K245)</f>
        <v/>
      </c>
    </row>
    <row r="246">
      <c r="B246" s="45" t="n"/>
      <c r="C246" s="46" t="n"/>
      <c r="D246" s="47" t="n"/>
      <c r="M246" s="48" t="n"/>
      <c r="O246">
        <f>IF(OR(B246="",D246="",E246=""),"",TEXT(B246,"yyyymmdd")&amp;"|"&amp;TEXT(D246,"0.00")&amp;"|"&amp;LOWER(E246)&amp;"|"&amp;K246)</f>
        <v/>
      </c>
    </row>
    <row r="247">
      <c r="B247" s="45" t="n"/>
      <c r="C247" s="46" t="n"/>
      <c r="D247" s="47" t="n"/>
      <c r="M247" s="48" t="n"/>
      <c r="O247">
        <f>IF(OR(B247="",D247="",E247=""),"",TEXT(B247,"yyyymmdd")&amp;"|"&amp;TEXT(D247,"0.00")&amp;"|"&amp;LOWER(E247)&amp;"|"&amp;K247)</f>
        <v/>
      </c>
    </row>
    <row r="248">
      <c r="B248" s="45" t="n"/>
      <c r="C248" s="46" t="n"/>
      <c r="D248" s="47" t="n"/>
      <c r="M248" s="48" t="n"/>
      <c r="O248">
        <f>IF(OR(B248="",D248="",E248=""),"",TEXT(B248,"yyyymmdd")&amp;"|"&amp;TEXT(D248,"0.00")&amp;"|"&amp;LOWER(E248)&amp;"|"&amp;K248)</f>
        <v/>
      </c>
    </row>
    <row r="249">
      <c r="B249" s="45" t="n"/>
      <c r="C249" s="46" t="n"/>
      <c r="D249" s="47" t="n"/>
      <c r="M249" s="48" t="n"/>
      <c r="O249">
        <f>IF(OR(B249="",D249="",E249=""),"",TEXT(B249,"yyyymmdd")&amp;"|"&amp;TEXT(D249,"0.00")&amp;"|"&amp;LOWER(E249)&amp;"|"&amp;K249)</f>
        <v/>
      </c>
    </row>
    <row r="250">
      <c r="B250" s="45" t="n"/>
      <c r="C250" s="46" t="n"/>
      <c r="D250" s="47" t="n"/>
      <c r="M250" s="48" t="n"/>
      <c r="O250">
        <f>IF(OR(B250="",D250="",E250=""),"",TEXT(B250,"yyyymmdd")&amp;"|"&amp;TEXT(D250,"0.00")&amp;"|"&amp;LOWER(E250)&amp;"|"&amp;K250)</f>
        <v/>
      </c>
    </row>
    <row r="251">
      <c r="B251" s="45" t="n"/>
      <c r="C251" s="46" t="n"/>
      <c r="D251" s="47" t="n"/>
      <c r="M251" s="48" t="n"/>
      <c r="O251">
        <f>IF(OR(B251="",D251="",E251=""),"",TEXT(B251,"yyyymmdd")&amp;"|"&amp;TEXT(D251,"0.00")&amp;"|"&amp;LOWER(E251)&amp;"|"&amp;K251)</f>
        <v/>
      </c>
    </row>
    <row r="252">
      <c r="B252" s="45" t="n"/>
      <c r="C252" s="46" t="n"/>
      <c r="D252" s="47" t="n"/>
      <c r="M252" s="48" t="n"/>
      <c r="O252">
        <f>IF(OR(B252="",D252="",E252=""),"",TEXT(B252,"yyyymmdd")&amp;"|"&amp;TEXT(D252,"0.00")&amp;"|"&amp;LOWER(E252)&amp;"|"&amp;K252)</f>
        <v/>
      </c>
    </row>
    <row r="253">
      <c r="B253" s="45" t="n"/>
      <c r="C253" s="46" t="n"/>
      <c r="D253" s="47" t="n"/>
      <c r="M253" s="48" t="n"/>
      <c r="O253">
        <f>IF(OR(B253="",D253="",E253=""),"",TEXT(B253,"yyyymmdd")&amp;"|"&amp;TEXT(D253,"0.00")&amp;"|"&amp;LOWER(E253)&amp;"|"&amp;K253)</f>
        <v/>
      </c>
    </row>
    <row r="254">
      <c r="B254" s="45" t="n"/>
      <c r="C254" s="46" t="n"/>
      <c r="D254" s="47" t="n"/>
      <c r="M254" s="48" t="n"/>
      <c r="O254">
        <f>IF(OR(B254="",D254="",E254=""),"",TEXT(B254,"yyyymmdd")&amp;"|"&amp;TEXT(D254,"0.00")&amp;"|"&amp;LOWER(E254)&amp;"|"&amp;K254)</f>
        <v/>
      </c>
    </row>
    <row r="255">
      <c r="B255" s="45" t="n"/>
      <c r="C255" s="46" t="n"/>
      <c r="D255" s="47" t="n"/>
      <c r="M255" s="48" t="n"/>
      <c r="O255">
        <f>IF(OR(B255="",D255="",E255=""),"",TEXT(B255,"yyyymmdd")&amp;"|"&amp;TEXT(D255,"0.00")&amp;"|"&amp;LOWER(E255)&amp;"|"&amp;K255)</f>
        <v/>
      </c>
    </row>
    <row r="256">
      <c r="B256" s="45" t="n"/>
      <c r="C256" s="46" t="n"/>
      <c r="D256" s="47" t="n"/>
      <c r="M256" s="48" t="n"/>
      <c r="O256">
        <f>IF(OR(B256="",D256="",E256=""),"",TEXT(B256,"yyyymmdd")&amp;"|"&amp;TEXT(D256,"0.00")&amp;"|"&amp;LOWER(E256)&amp;"|"&amp;K256)</f>
        <v/>
      </c>
    </row>
    <row r="257">
      <c r="B257" s="45" t="n"/>
      <c r="C257" s="46" t="n"/>
      <c r="D257" s="47" t="n"/>
      <c r="M257" s="48" t="n"/>
      <c r="O257">
        <f>IF(OR(B257="",D257="",E257=""),"",TEXT(B257,"yyyymmdd")&amp;"|"&amp;TEXT(D257,"0.00")&amp;"|"&amp;LOWER(E257)&amp;"|"&amp;K257)</f>
        <v/>
      </c>
    </row>
    <row r="258">
      <c r="B258" s="45" t="n"/>
      <c r="C258" s="46" t="n"/>
      <c r="D258" s="47" t="n"/>
      <c r="M258" s="48" t="n"/>
      <c r="O258">
        <f>IF(OR(B258="",D258="",E258=""),"",TEXT(B258,"yyyymmdd")&amp;"|"&amp;TEXT(D258,"0.00")&amp;"|"&amp;LOWER(E258)&amp;"|"&amp;K258)</f>
        <v/>
      </c>
    </row>
    <row r="259">
      <c r="B259" s="45" t="n"/>
      <c r="C259" s="46" t="n"/>
      <c r="D259" s="47" t="n"/>
      <c r="M259" s="48" t="n"/>
      <c r="O259">
        <f>IF(OR(B259="",D259="",E259=""),"",TEXT(B259,"yyyymmdd")&amp;"|"&amp;TEXT(D259,"0.00")&amp;"|"&amp;LOWER(E259)&amp;"|"&amp;K259)</f>
        <v/>
      </c>
    </row>
    <row r="260">
      <c r="B260" s="45" t="n"/>
      <c r="C260" s="46" t="n"/>
      <c r="D260" s="47" t="n"/>
      <c r="M260" s="48" t="n"/>
      <c r="O260">
        <f>IF(OR(B260="",D260="",E260=""),"",TEXT(B260,"yyyymmdd")&amp;"|"&amp;TEXT(D260,"0.00")&amp;"|"&amp;LOWER(E260)&amp;"|"&amp;K260)</f>
        <v/>
      </c>
    </row>
    <row r="261">
      <c r="B261" s="45" t="n"/>
      <c r="C261" s="46" t="n"/>
      <c r="D261" s="47" t="n"/>
      <c r="M261" s="48" t="n"/>
      <c r="O261">
        <f>IF(OR(B261="",D261="",E261=""),"",TEXT(B261,"yyyymmdd")&amp;"|"&amp;TEXT(D261,"0.00")&amp;"|"&amp;LOWER(E261)&amp;"|"&amp;K261)</f>
        <v/>
      </c>
    </row>
    <row r="262">
      <c r="B262" s="45" t="n"/>
      <c r="C262" s="46" t="n"/>
      <c r="D262" s="47" t="n"/>
      <c r="M262" s="48" t="n"/>
      <c r="O262">
        <f>IF(OR(B262="",D262="",E262=""),"",TEXT(B262,"yyyymmdd")&amp;"|"&amp;TEXT(D262,"0.00")&amp;"|"&amp;LOWER(E262)&amp;"|"&amp;K262)</f>
        <v/>
      </c>
    </row>
    <row r="263">
      <c r="B263" s="45" t="n"/>
      <c r="C263" s="46" t="n"/>
      <c r="D263" s="47" t="n"/>
      <c r="M263" s="48" t="n"/>
      <c r="O263">
        <f>IF(OR(B263="",D263="",E263=""),"",TEXT(B263,"yyyymmdd")&amp;"|"&amp;TEXT(D263,"0.00")&amp;"|"&amp;LOWER(E263)&amp;"|"&amp;K263)</f>
        <v/>
      </c>
    </row>
    <row r="264">
      <c r="B264" s="45" t="n"/>
      <c r="C264" s="46" t="n"/>
      <c r="D264" s="47" t="n"/>
      <c r="M264" s="48" t="n"/>
      <c r="O264">
        <f>IF(OR(B264="",D264="",E264=""),"",TEXT(B264,"yyyymmdd")&amp;"|"&amp;TEXT(D264,"0.00")&amp;"|"&amp;LOWER(E264)&amp;"|"&amp;K264)</f>
        <v/>
      </c>
    </row>
    <row r="265">
      <c r="B265" s="45" t="n"/>
      <c r="C265" s="46" t="n"/>
      <c r="D265" s="47" t="n"/>
      <c r="M265" s="48" t="n"/>
      <c r="O265">
        <f>IF(OR(B265="",D265="",E265=""),"",TEXT(B265,"yyyymmdd")&amp;"|"&amp;TEXT(D265,"0.00")&amp;"|"&amp;LOWER(E265)&amp;"|"&amp;K265)</f>
        <v/>
      </c>
    </row>
    <row r="266">
      <c r="B266" s="45" t="n"/>
      <c r="C266" s="46" t="n"/>
      <c r="D266" s="47" t="n"/>
      <c r="M266" s="48" t="n"/>
      <c r="O266">
        <f>IF(OR(B266="",D266="",E266=""),"",TEXT(B266,"yyyymmdd")&amp;"|"&amp;TEXT(D266,"0.00")&amp;"|"&amp;LOWER(E266)&amp;"|"&amp;K266)</f>
        <v/>
      </c>
    </row>
    <row r="267">
      <c r="B267" s="45" t="n"/>
      <c r="C267" s="46" t="n"/>
      <c r="D267" s="47" t="n"/>
      <c r="M267" s="48" t="n"/>
      <c r="O267">
        <f>IF(OR(B267="",D267="",E267=""),"",TEXT(B267,"yyyymmdd")&amp;"|"&amp;TEXT(D267,"0.00")&amp;"|"&amp;LOWER(E267)&amp;"|"&amp;K267)</f>
        <v/>
      </c>
    </row>
    <row r="268">
      <c r="B268" s="45" t="n"/>
      <c r="C268" s="46" t="n"/>
      <c r="D268" s="47" t="n"/>
      <c r="M268" s="48" t="n"/>
      <c r="O268">
        <f>IF(OR(B268="",D268="",E268=""),"",TEXT(B268,"yyyymmdd")&amp;"|"&amp;TEXT(D268,"0.00")&amp;"|"&amp;LOWER(E268)&amp;"|"&amp;K268)</f>
        <v/>
      </c>
    </row>
    <row r="269">
      <c r="B269" s="45" t="n"/>
      <c r="C269" s="46" t="n"/>
      <c r="D269" s="47" t="n"/>
      <c r="M269" s="48" t="n"/>
      <c r="O269">
        <f>IF(OR(B269="",D269="",E269=""),"",TEXT(B269,"yyyymmdd")&amp;"|"&amp;TEXT(D269,"0.00")&amp;"|"&amp;LOWER(E269)&amp;"|"&amp;K269)</f>
        <v/>
      </c>
    </row>
    <row r="270">
      <c r="B270" s="45" t="n"/>
      <c r="C270" s="46" t="n"/>
      <c r="D270" s="47" t="n"/>
      <c r="M270" s="48" t="n"/>
      <c r="O270">
        <f>IF(OR(B270="",D270="",E270=""),"",TEXT(B270,"yyyymmdd")&amp;"|"&amp;TEXT(D270,"0.00")&amp;"|"&amp;LOWER(E270)&amp;"|"&amp;K270)</f>
        <v/>
      </c>
    </row>
    <row r="271">
      <c r="B271" s="45" t="n"/>
      <c r="C271" s="46" t="n"/>
      <c r="D271" s="47" t="n"/>
      <c r="M271" s="48" t="n"/>
      <c r="O271">
        <f>IF(OR(B271="",D271="",E271=""),"",TEXT(B271,"yyyymmdd")&amp;"|"&amp;TEXT(D271,"0.00")&amp;"|"&amp;LOWER(E271)&amp;"|"&amp;K271)</f>
        <v/>
      </c>
    </row>
    <row r="272">
      <c r="B272" s="45" t="n"/>
      <c r="C272" s="46" t="n"/>
      <c r="D272" s="47" t="n"/>
      <c r="M272" s="48" t="n"/>
      <c r="O272">
        <f>IF(OR(B272="",D272="",E272=""),"",TEXT(B272,"yyyymmdd")&amp;"|"&amp;TEXT(D272,"0.00")&amp;"|"&amp;LOWER(E272)&amp;"|"&amp;K272)</f>
        <v/>
      </c>
    </row>
    <row r="273">
      <c r="B273" s="45" t="n"/>
      <c r="C273" s="46" t="n"/>
      <c r="D273" s="47" t="n"/>
      <c r="M273" s="48" t="n"/>
      <c r="O273">
        <f>IF(OR(B273="",D273="",E273=""),"",TEXT(B273,"yyyymmdd")&amp;"|"&amp;TEXT(D273,"0.00")&amp;"|"&amp;LOWER(E273)&amp;"|"&amp;K273)</f>
        <v/>
      </c>
    </row>
    <row r="274">
      <c r="B274" s="45" t="n"/>
      <c r="C274" s="46" t="n"/>
      <c r="D274" s="47" t="n"/>
      <c r="M274" s="48" t="n"/>
      <c r="O274">
        <f>IF(OR(B274="",D274="",E274=""),"",TEXT(B274,"yyyymmdd")&amp;"|"&amp;TEXT(D274,"0.00")&amp;"|"&amp;LOWER(E274)&amp;"|"&amp;K274)</f>
        <v/>
      </c>
    </row>
    <row r="275">
      <c r="B275" s="45" t="n"/>
      <c r="C275" s="46" t="n"/>
      <c r="D275" s="47" t="n"/>
      <c r="M275" s="48" t="n"/>
      <c r="O275">
        <f>IF(OR(B275="",D275="",E275=""),"",TEXT(B275,"yyyymmdd")&amp;"|"&amp;TEXT(D275,"0.00")&amp;"|"&amp;LOWER(E275)&amp;"|"&amp;K275)</f>
        <v/>
      </c>
    </row>
    <row r="276">
      <c r="B276" s="45" t="n"/>
      <c r="C276" s="46" t="n"/>
      <c r="D276" s="47" t="n"/>
      <c r="M276" s="48" t="n"/>
      <c r="O276">
        <f>IF(OR(B276="",D276="",E276=""),"",TEXT(B276,"yyyymmdd")&amp;"|"&amp;TEXT(D276,"0.00")&amp;"|"&amp;LOWER(E276)&amp;"|"&amp;K276)</f>
        <v/>
      </c>
    </row>
    <row r="277">
      <c r="B277" s="45" t="n"/>
      <c r="C277" s="46" t="n"/>
      <c r="D277" s="47" t="n"/>
      <c r="M277" s="48" t="n"/>
      <c r="O277">
        <f>IF(OR(B277="",D277="",E277=""),"",TEXT(B277,"yyyymmdd")&amp;"|"&amp;TEXT(D277,"0.00")&amp;"|"&amp;LOWER(E277)&amp;"|"&amp;K277)</f>
        <v/>
      </c>
    </row>
    <row r="278">
      <c r="B278" s="45" t="n"/>
      <c r="C278" s="46" t="n"/>
      <c r="D278" s="47" t="n"/>
      <c r="M278" s="48" t="n"/>
      <c r="O278">
        <f>IF(OR(B278="",D278="",E278=""),"",TEXT(B278,"yyyymmdd")&amp;"|"&amp;TEXT(D278,"0.00")&amp;"|"&amp;LOWER(E278)&amp;"|"&amp;K278)</f>
        <v/>
      </c>
    </row>
    <row r="279">
      <c r="B279" s="45" t="n"/>
      <c r="C279" s="46" t="n"/>
      <c r="D279" s="47" t="n"/>
      <c r="M279" s="48" t="n"/>
      <c r="O279">
        <f>IF(OR(B279="",D279="",E279=""),"",TEXT(B279,"yyyymmdd")&amp;"|"&amp;TEXT(D279,"0.00")&amp;"|"&amp;LOWER(E279)&amp;"|"&amp;K279)</f>
        <v/>
      </c>
    </row>
    <row r="280">
      <c r="B280" s="45" t="n"/>
      <c r="C280" s="46" t="n"/>
      <c r="D280" s="47" t="n"/>
      <c r="M280" s="48" t="n"/>
      <c r="O280">
        <f>IF(OR(B280="",D280="",E280=""),"",TEXT(B280,"yyyymmdd")&amp;"|"&amp;TEXT(D280,"0.00")&amp;"|"&amp;LOWER(E280)&amp;"|"&amp;K280)</f>
        <v/>
      </c>
    </row>
    <row r="281">
      <c r="B281" s="45" t="n"/>
      <c r="C281" s="46" t="n"/>
      <c r="D281" s="47" t="n"/>
      <c r="M281" s="48" t="n"/>
      <c r="O281">
        <f>IF(OR(B281="",D281="",E281=""),"",TEXT(B281,"yyyymmdd")&amp;"|"&amp;TEXT(D281,"0.00")&amp;"|"&amp;LOWER(E281)&amp;"|"&amp;K281)</f>
        <v/>
      </c>
    </row>
    <row r="282">
      <c r="B282" s="45" t="n"/>
      <c r="C282" s="46" t="n"/>
      <c r="D282" s="47" t="n"/>
      <c r="M282" s="48" t="n"/>
      <c r="O282">
        <f>IF(OR(B282="",D282="",E282=""),"",TEXT(B282,"yyyymmdd")&amp;"|"&amp;TEXT(D282,"0.00")&amp;"|"&amp;LOWER(E282)&amp;"|"&amp;K282)</f>
        <v/>
      </c>
    </row>
    <row r="283">
      <c r="B283" s="45" t="n"/>
      <c r="C283" s="46" t="n"/>
      <c r="D283" s="47" t="n"/>
      <c r="M283" s="48" t="n"/>
      <c r="O283">
        <f>IF(OR(B283="",D283="",E283=""),"",TEXT(B283,"yyyymmdd")&amp;"|"&amp;TEXT(D283,"0.00")&amp;"|"&amp;LOWER(E283)&amp;"|"&amp;K283)</f>
        <v/>
      </c>
    </row>
    <row r="284">
      <c r="B284" s="45" t="n"/>
      <c r="C284" s="46" t="n"/>
      <c r="D284" s="47" t="n"/>
      <c r="M284" s="48" t="n"/>
      <c r="O284">
        <f>IF(OR(B284="",D284="",E284=""),"",TEXT(B284,"yyyymmdd")&amp;"|"&amp;TEXT(D284,"0.00")&amp;"|"&amp;LOWER(E284)&amp;"|"&amp;K284)</f>
        <v/>
      </c>
    </row>
    <row r="285">
      <c r="B285" s="45" t="n"/>
      <c r="C285" s="46" t="n"/>
      <c r="D285" s="47" t="n"/>
      <c r="M285" s="48" t="n"/>
      <c r="O285">
        <f>IF(OR(B285="",D285="",E285=""),"",TEXT(B285,"yyyymmdd")&amp;"|"&amp;TEXT(D285,"0.00")&amp;"|"&amp;LOWER(E285)&amp;"|"&amp;K285)</f>
        <v/>
      </c>
    </row>
    <row r="286">
      <c r="B286" s="45" t="n"/>
      <c r="C286" s="46" t="n"/>
      <c r="D286" s="47" t="n"/>
      <c r="M286" s="48" t="n"/>
      <c r="O286">
        <f>IF(OR(B286="",D286="",E286=""),"",TEXT(B286,"yyyymmdd")&amp;"|"&amp;TEXT(D286,"0.00")&amp;"|"&amp;LOWER(E286)&amp;"|"&amp;K286)</f>
        <v/>
      </c>
    </row>
    <row r="287">
      <c r="B287" s="45" t="n"/>
      <c r="C287" s="46" t="n"/>
      <c r="D287" s="47" t="n"/>
      <c r="M287" s="48" t="n"/>
      <c r="O287">
        <f>IF(OR(B287="",D287="",E287=""),"",TEXT(B287,"yyyymmdd")&amp;"|"&amp;TEXT(D287,"0.00")&amp;"|"&amp;LOWER(E287)&amp;"|"&amp;K287)</f>
        <v/>
      </c>
    </row>
    <row r="288">
      <c r="B288" s="45" t="n"/>
      <c r="C288" s="46" t="n"/>
      <c r="D288" s="47" t="n"/>
      <c r="M288" s="48" t="n"/>
      <c r="O288">
        <f>IF(OR(B288="",D288="",E288=""),"",TEXT(B288,"yyyymmdd")&amp;"|"&amp;TEXT(D288,"0.00")&amp;"|"&amp;LOWER(E288)&amp;"|"&amp;K288)</f>
        <v/>
      </c>
    </row>
    <row r="289">
      <c r="B289" s="45" t="n"/>
      <c r="C289" s="46" t="n"/>
      <c r="D289" s="47" t="n"/>
      <c r="M289" s="48" t="n"/>
      <c r="O289">
        <f>IF(OR(B289="",D289="",E289=""),"",TEXT(B289,"yyyymmdd")&amp;"|"&amp;TEXT(D289,"0.00")&amp;"|"&amp;LOWER(E289)&amp;"|"&amp;K289)</f>
        <v/>
      </c>
    </row>
    <row r="290">
      <c r="B290" s="45" t="n"/>
      <c r="C290" s="46" t="n"/>
      <c r="D290" s="47" t="n"/>
      <c r="M290" s="48" t="n"/>
      <c r="O290">
        <f>IF(OR(B290="",D290="",E290=""),"",TEXT(B290,"yyyymmdd")&amp;"|"&amp;TEXT(D290,"0.00")&amp;"|"&amp;LOWER(E290)&amp;"|"&amp;K290)</f>
        <v/>
      </c>
    </row>
    <row r="291">
      <c r="B291" s="45" t="n"/>
      <c r="C291" s="46" t="n"/>
      <c r="D291" s="47" t="n"/>
      <c r="M291" s="48" t="n"/>
      <c r="O291">
        <f>IF(OR(B291="",D291="",E291=""),"",TEXT(B291,"yyyymmdd")&amp;"|"&amp;TEXT(D291,"0.00")&amp;"|"&amp;LOWER(E291)&amp;"|"&amp;K291)</f>
        <v/>
      </c>
    </row>
    <row r="292">
      <c r="B292" s="45" t="n"/>
      <c r="C292" s="46" t="n"/>
      <c r="D292" s="47" t="n"/>
      <c r="M292" s="48" t="n"/>
      <c r="O292">
        <f>IF(OR(B292="",D292="",E292=""),"",TEXT(B292,"yyyymmdd")&amp;"|"&amp;TEXT(D292,"0.00")&amp;"|"&amp;LOWER(E292)&amp;"|"&amp;K292)</f>
        <v/>
      </c>
    </row>
    <row r="293">
      <c r="B293" s="45" t="n"/>
      <c r="C293" s="46" t="n"/>
      <c r="D293" s="47" t="n"/>
      <c r="M293" s="48" t="n"/>
      <c r="O293">
        <f>IF(OR(B293="",D293="",E293=""),"",TEXT(B293,"yyyymmdd")&amp;"|"&amp;TEXT(D293,"0.00")&amp;"|"&amp;LOWER(E293)&amp;"|"&amp;K293)</f>
        <v/>
      </c>
    </row>
    <row r="294">
      <c r="B294" s="45" t="n"/>
      <c r="C294" s="46" t="n"/>
      <c r="D294" s="47" t="n"/>
      <c r="M294" s="48" t="n"/>
      <c r="O294">
        <f>IF(OR(B294="",D294="",E294=""),"",TEXT(B294,"yyyymmdd")&amp;"|"&amp;TEXT(D294,"0.00")&amp;"|"&amp;LOWER(E294)&amp;"|"&amp;K294)</f>
        <v/>
      </c>
    </row>
    <row r="295">
      <c r="B295" s="45" t="n"/>
      <c r="C295" s="46" t="n"/>
      <c r="D295" s="47" t="n"/>
      <c r="M295" s="48" t="n"/>
      <c r="O295">
        <f>IF(OR(B295="",D295="",E295=""),"",TEXT(B295,"yyyymmdd")&amp;"|"&amp;TEXT(D295,"0.00")&amp;"|"&amp;LOWER(E295)&amp;"|"&amp;K295)</f>
        <v/>
      </c>
    </row>
    <row r="296">
      <c r="B296" s="45" t="n"/>
      <c r="C296" s="46" t="n"/>
      <c r="D296" s="47" t="n"/>
      <c r="M296" s="48" t="n"/>
      <c r="O296">
        <f>IF(OR(B296="",D296="",E296=""),"",TEXT(B296,"yyyymmdd")&amp;"|"&amp;TEXT(D296,"0.00")&amp;"|"&amp;LOWER(E296)&amp;"|"&amp;K296)</f>
        <v/>
      </c>
    </row>
    <row r="297">
      <c r="B297" s="45" t="n"/>
      <c r="C297" s="46" t="n"/>
      <c r="D297" s="47" t="n"/>
      <c r="M297" s="48" t="n"/>
      <c r="O297">
        <f>IF(OR(B297="",D297="",E297=""),"",TEXT(B297,"yyyymmdd")&amp;"|"&amp;TEXT(D297,"0.00")&amp;"|"&amp;LOWER(E297)&amp;"|"&amp;K297)</f>
        <v/>
      </c>
    </row>
    <row r="298">
      <c r="B298" s="45" t="n"/>
      <c r="C298" s="46" t="n"/>
      <c r="D298" s="47" t="n"/>
      <c r="M298" s="48" t="n"/>
      <c r="O298">
        <f>IF(OR(B298="",D298="",E298=""),"",TEXT(B298,"yyyymmdd")&amp;"|"&amp;TEXT(D298,"0.00")&amp;"|"&amp;LOWER(E298)&amp;"|"&amp;K298)</f>
        <v/>
      </c>
    </row>
    <row r="299">
      <c r="B299" s="45" t="n"/>
      <c r="C299" s="46" t="n"/>
      <c r="D299" s="47" t="n"/>
      <c r="M299" s="48" t="n"/>
      <c r="O299">
        <f>IF(OR(B299="",D299="",E299=""),"",TEXT(B299,"yyyymmdd")&amp;"|"&amp;TEXT(D299,"0.00")&amp;"|"&amp;LOWER(E299)&amp;"|"&amp;K299)</f>
        <v/>
      </c>
    </row>
    <row r="300">
      <c r="B300" s="45" t="n"/>
      <c r="C300" s="46" t="n"/>
      <c r="D300" s="47" t="n"/>
      <c r="M300" s="48" t="n"/>
      <c r="O300">
        <f>IF(OR(B300="",D300="",E300=""),"",TEXT(B300,"yyyymmdd")&amp;"|"&amp;TEXT(D300,"0.00")&amp;"|"&amp;LOWER(E300)&amp;"|"&amp;K300)</f>
        <v/>
      </c>
    </row>
    <row r="301">
      <c r="B301" s="45" t="n"/>
      <c r="C301" s="46" t="n"/>
      <c r="D301" s="47" t="n"/>
      <c r="M301" s="48" t="n"/>
      <c r="O301">
        <f>IF(OR(B301="",D301="",E301=""),"",TEXT(B301,"yyyymmdd")&amp;"|"&amp;TEXT(D301,"0.00")&amp;"|"&amp;LOWER(E301)&amp;"|"&amp;K301)</f>
        <v/>
      </c>
    </row>
    <row r="302">
      <c r="B302" s="45" t="n"/>
      <c r="C302" s="46" t="n"/>
      <c r="D302" s="47" t="n"/>
      <c r="M302" s="48" t="n"/>
      <c r="O302">
        <f>IF(OR(B302="",D302="",E302=""),"",TEXT(B302,"yyyymmdd")&amp;"|"&amp;TEXT(D302,"0.00")&amp;"|"&amp;LOWER(E302)&amp;"|"&amp;K302)</f>
        <v/>
      </c>
    </row>
    <row r="303">
      <c r="B303" s="45" t="n"/>
      <c r="C303" s="46" t="n"/>
      <c r="D303" s="47" t="n"/>
      <c r="M303" s="48" t="n"/>
      <c r="O303">
        <f>IF(OR(B303="",D303="",E303=""),"",TEXT(B303,"yyyymmdd")&amp;"|"&amp;TEXT(D303,"0.00")&amp;"|"&amp;LOWER(E303)&amp;"|"&amp;K303)</f>
        <v/>
      </c>
    </row>
    <row r="304">
      <c r="B304" s="45" t="n"/>
      <c r="C304" s="46" t="n"/>
      <c r="D304" s="47" t="n"/>
      <c r="M304" s="48" t="n"/>
      <c r="O304">
        <f>IF(OR(B304="",D304="",E304=""),"",TEXT(B304,"yyyymmdd")&amp;"|"&amp;TEXT(D304,"0.00")&amp;"|"&amp;LOWER(E304)&amp;"|"&amp;K304)</f>
        <v/>
      </c>
    </row>
    <row r="305">
      <c r="B305" s="45" t="n"/>
      <c r="C305" s="46" t="n"/>
      <c r="D305" s="47" t="n"/>
      <c r="M305" s="48" t="n"/>
      <c r="O305">
        <f>IF(OR(B305="",D305="",E305=""),"",TEXT(B305,"yyyymmdd")&amp;"|"&amp;TEXT(D305,"0.00")&amp;"|"&amp;LOWER(E305)&amp;"|"&amp;K305)</f>
        <v/>
      </c>
    </row>
    <row r="306">
      <c r="B306" s="45" t="n"/>
      <c r="C306" s="46" t="n"/>
      <c r="D306" s="47" t="n"/>
      <c r="M306" s="48" t="n"/>
      <c r="O306">
        <f>IF(OR(B306="",D306="",E306=""),"",TEXT(B306,"yyyymmdd")&amp;"|"&amp;TEXT(D306,"0.00")&amp;"|"&amp;LOWER(E306)&amp;"|"&amp;K306)</f>
        <v/>
      </c>
    </row>
    <row r="307">
      <c r="B307" s="45" t="n"/>
      <c r="C307" s="46" t="n"/>
      <c r="D307" s="47" t="n"/>
      <c r="M307" s="48" t="n"/>
      <c r="O307">
        <f>IF(OR(B307="",D307="",E307=""),"",TEXT(B307,"yyyymmdd")&amp;"|"&amp;TEXT(D307,"0.00")&amp;"|"&amp;LOWER(E307)&amp;"|"&amp;K307)</f>
        <v/>
      </c>
    </row>
    <row r="308">
      <c r="B308" s="45" t="n"/>
      <c r="C308" s="46" t="n"/>
      <c r="D308" s="47" t="n"/>
      <c r="M308" s="48" t="n"/>
      <c r="O308">
        <f>IF(OR(B308="",D308="",E308=""),"",TEXT(B308,"yyyymmdd")&amp;"|"&amp;TEXT(D308,"0.00")&amp;"|"&amp;LOWER(E308)&amp;"|"&amp;K308)</f>
        <v/>
      </c>
    </row>
    <row r="309">
      <c r="B309" s="45" t="n"/>
      <c r="C309" s="46" t="n"/>
      <c r="D309" s="47" t="n"/>
      <c r="M309" s="48" t="n"/>
      <c r="O309">
        <f>IF(OR(B309="",D309="",E309=""),"",TEXT(B309,"yyyymmdd")&amp;"|"&amp;TEXT(D309,"0.00")&amp;"|"&amp;LOWER(E309)&amp;"|"&amp;K309)</f>
        <v/>
      </c>
    </row>
    <row r="310">
      <c r="B310" s="45" t="n"/>
      <c r="C310" s="46" t="n"/>
      <c r="D310" s="47" t="n"/>
      <c r="M310" s="48" t="n"/>
      <c r="O310">
        <f>IF(OR(B310="",D310="",E310=""),"",TEXT(B310,"yyyymmdd")&amp;"|"&amp;TEXT(D310,"0.00")&amp;"|"&amp;LOWER(E310)&amp;"|"&amp;K310)</f>
        <v/>
      </c>
    </row>
    <row r="311">
      <c r="B311" s="45" t="n"/>
      <c r="C311" s="46" t="n"/>
      <c r="D311" s="47" t="n"/>
      <c r="M311" s="48" t="n"/>
      <c r="O311">
        <f>IF(OR(B311="",D311="",E311=""),"",TEXT(B311,"yyyymmdd")&amp;"|"&amp;TEXT(D311,"0.00")&amp;"|"&amp;LOWER(E311)&amp;"|"&amp;K311)</f>
        <v/>
      </c>
    </row>
    <row r="312">
      <c r="B312" s="45" t="n"/>
      <c r="C312" s="46" t="n"/>
      <c r="D312" s="47" t="n"/>
      <c r="M312" s="48" t="n"/>
      <c r="O312">
        <f>IF(OR(B312="",D312="",E312=""),"",TEXT(B312,"yyyymmdd")&amp;"|"&amp;TEXT(D312,"0.00")&amp;"|"&amp;LOWER(E312)&amp;"|"&amp;K312)</f>
        <v/>
      </c>
    </row>
    <row r="313">
      <c r="B313" s="45" t="n"/>
      <c r="C313" s="46" t="n"/>
      <c r="D313" s="47" t="n"/>
      <c r="M313" s="48" t="n"/>
      <c r="O313">
        <f>IF(OR(B313="",D313="",E313=""),"",TEXT(B313,"yyyymmdd")&amp;"|"&amp;TEXT(D313,"0.00")&amp;"|"&amp;LOWER(E313)&amp;"|"&amp;K313)</f>
        <v/>
      </c>
    </row>
    <row r="314">
      <c r="B314" s="45" t="n"/>
      <c r="C314" s="46" t="n"/>
      <c r="D314" s="47" t="n"/>
      <c r="M314" s="48" t="n"/>
      <c r="O314">
        <f>IF(OR(B314="",D314="",E314=""),"",TEXT(B314,"yyyymmdd")&amp;"|"&amp;TEXT(D314,"0.00")&amp;"|"&amp;LOWER(E314)&amp;"|"&amp;K314)</f>
        <v/>
      </c>
    </row>
    <row r="315">
      <c r="B315" s="45" t="n"/>
      <c r="C315" s="46" t="n"/>
      <c r="D315" s="47" t="n"/>
      <c r="M315" s="48" t="n"/>
      <c r="O315">
        <f>IF(OR(B315="",D315="",E315=""),"",TEXT(B315,"yyyymmdd")&amp;"|"&amp;TEXT(D315,"0.00")&amp;"|"&amp;LOWER(E315)&amp;"|"&amp;K315)</f>
        <v/>
      </c>
    </row>
    <row r="316">
      <c r="B316" s="45" t="n"/>
      <c r="C316" s="46" t="n"/>
      <c r="D316" s="47" t="n"/>
      <c r="M316" s="48" t="n"/>
      <c r="O316">
        <f>IF(OR(B316="",D316="",E316=""),"",TEXT(B316,"yyyymmdd")&amp;"|"&amp;TEXT(D316,"0.00")&amp;"|"&amp;LOWER(E316)&amp;"|"&amp;K316)</f>
        <v/>
      </c>
    </row>
    <row r="317">
      <c r="B317" s="45" t="n"/>
      <c r="C317" s="46" t="n"/>
      <c r="D317" s="47" t="n"/>
      <c r="M317" s="48" t="n"/>
      <c r="O317">
        <f>IF(OR(B317="",D317="",E317=""),"",TEXT(B317,"yyyymmdd")&amp;"|"&amp;TEXT(D317,"0.00")&amp;"|"&amp;LOWER(E317)&amp;"|"&amp;K317)</f>
        <v/>
      </c>
    </row>
    <row r="318">
      <c r="B318" s="45" t="n"/>
      <c r="C318" s="46" t="n"/>
      <c r="D318" s="47" t="n"/>
      <c r="M318" s="48" t="n"/>
      <c r="O318">
        <f>IF(OR(B318="",D318="",E318=""),"",TEXT(B318,"yyyymmdd")&amp;"|"&amp;TEXT(D318,"0.00")&amp;"|"&amp;LOWER(E318)&amp;"|"&amp;K318)</f>
        <v/>
      </c>
    </row>
    <row r="319">
      <c r="B319" s="45" t="n"/>
      <c r="C319" s="46" t="n"/>
      <c r="D319" s="47" t="n"/>
      <c r="M319" s="48" t="n"/>
      <c r="O319">
        <f>IF(OR(B319="",D319="",E319=""),"",TEXT(B319,"yyyymmdd")&amp;"|"&amp;TEXT(D319,"0.00")&amp;"|"&amp;LOWER(E319)&amp;"|"&amp;K319)</f>
        <v/>
      </c>
    </row>
    <row r="320">
      <c r="B320" s="45" t="n"/>
      <c r="C320" s="46" t="n"/>
      <c r="D320" s="47" t="n"/>
      <c r="M320" s="48" t="n"/>
      <c r="O320">
        <f>IF(OR(B320="",D320="",E320=""),"",TEXT(B320,"yyyymmdd")&amp;"|"&amp;TEXT(D320,"0.00")&amp;"|"&amp;LOWER(E320)&amp;"|"&amp;K320)</f>
        <v/>
      </c>
    </row>
    <row r="321">
      <c r="B321" s="45" t="n"/>
      <c r="C321" s="46" t="n"/>
      <c r="D321" s="47" t="n"/>
      <c r="M321" s="48" t="n"/>
      <c r="O321">
        <f>IF(OR(B321="",D321="",E321=""),"",TEXT(B321,"yyyymmdd")&amp;"|"&amp;TEXT(D321,"0.00")&amp;"|"&amp;LOWER(E321)&amp;"|"&amp;K321)</f>
        <v/>
      </c>
    </row>
    <row r="322">
      <c r="B322" s="45" t="n"/>
      <c r="C322" s="46" t="n"/>
      <c r="D322" s="47" t="n"/>
      <c r="M322" s="48" t="n"/>
      <c r="O322">
        <f>IF(OR(B322="",D322="",E322=""),"",TEXT(B322,"yyyymmdd")&amp;"|"&amp;TEXT(D322,"0.00")&amp;"|"&amp;LOWER(E322)&amp;"|"&amp;K322)</f>
        <v/>
      </c>
    </row>
    <row r="323">
      <c r="B323" s="45" t="n"/>
      <c r="C323" s="46" t="n"/>
      <c r="D323" s="47" t="n"/>
      <c r="M323" s="48" t="n"/>
      <c r="O323">
        <f>IF(OR(B323="",D323="",E323=""),"",TEXT(B323,"yyyymmdd")&amp;"|"&amp;TEXT(D323,"0.00")&amp;"|"&amp;LOWER(E323)&amp;"|"&amp;K323)</f>
        <v/>
      </c>
    </row>
    <row r="324">
      <c r="B324" s="45" t="n"/>
      <c r="C324" s="46" t="n"/>
      <c r="D324" s="47" t="n"/>
      <c r="M324" s="48" t="n"/>
      <c r="O324">
        <f>IF(OR(B324="",D324="",E324=""),"",TEXT(B324,"yyyymmdd")&amp;"|"&amp;TEXT(D324,"0.00")&amp;"|"&amp;LOWER(E324)&amp;"|"&amp;K324)</f>
        <v/>
      </c>
    </row>
    <row r="325">
      <c r="B325" s="45" t="n"/>
      <c r="C325" s="46" t="n"/>
      <c r="D325" s="47" t="n"/>
      <c r="M325" s="48" t="n"/>
      <c r="O325">
        <f>IF(OR(B325="",D325="",E325=""),"",TEXT(B325,"yyyymmdd")&amp;"|"&amp;TEXT(D325,"0.00")&amp;"|"&amp;LOWER(E325)&amp;"|"&amp;K325)</f>
        <v/>
      </c>
    </row>
    <row r="326">
      <c r="B326" s="45" t="n"/>
      <c r="C326" s="46" t="n"/>
      <c r="D326" s="47" t="n"/>
      <c r="M326" s="48" t="n"/>
      <c r="O326">
        <f>IF(OR(B326="",D326="",E326=""),"",TEXT(B326,"yyyymmdd")&amp;"|"&amp;TEXT(D326,"0.00")&amp;"|"&amp;LOWER(E326)&amp;"|"&amp;K326)</f>
        <v/>
      </c>
    </row>
    <row r="327">
      <c r="B327" s="45" t="n"/>
      <c r="C327" s="46" t="n"/>
      <c r="D327" s="47" t="n"/>
      <c r="M327" s="48" t="n"/>
      <c r="O327">
        <f>IF(OR(B327="",D327="",E327=""),"",TEXT(B327,"yyyymmdd")&amp;"|"&amp;TEXT(D327,"0.00")&amp;"|"&amp;LOWER(E327)&amp;"|"&amp;K327)</f>
        <v/>
      </c>
    </row>
    <row r="328">
      <c r="B328" s="45" t="n"/>
      <c r="C328" s="46" t="n"/>
      <c r="D328" s="47" t="n"/>
      <c r="M328" s="48" t="n"/>
      <c r="O328">
        <f>IF(OR(B328="",D328="",E328=""),"",TEXT(B328,"yyyymmdd")&amp;"|"&amp;TEXT(D328,"0.00")&amp;"|"&amp;LOWER(E328)&amp;"|"&amp;K328)</f>
        <v/>
      </c>
    </row>
    <row r="329">
      <c r="B329" s="45" t="n"/>
      <c r="C329" s="46" t="n"/>
      <c r="D329" s="47" t="n"/>
      <c r="M329" s="48" t="n"/>
      <c r="O329">
        <f>IF(OR(B329="",D329="",E329=""),"",TEXT(B329,"yyyymmdd")&amp;"|"&amp;TEXT(D329,"0.00")&amp;"|"&amp;LOWER(E329)&amp;"|"&amp;K329)</f>
        <v/>
      </c>
    </row>
    <row r="330">
      <c r="B330" s="45" t="n"/>
      <c r="C330" s="46" t="n"/>
      <c r="D330" s="47" t="n"/>
      <c r="M330" s="48" t="n"/>
      <c r="O330">
        <f>IF(OR(B330="",D330="",E330=""),"",TEXT(B330,"yyyymmdd")&amp;"|"&amp;TEXT(D330,"0.00")&amp;"|"&amp;LOWER(E330)&amp;"|"&amp;K330)</f>
        <v/>
      </c>
    </row>
    <row r="331">
      <c r="B331" s="45" t="n"/>
      <c r="C331" s="46" t="n"/>
      <c r="D331" s="47" t="n"/>
      <c r="M331" s="48" t="n"/>
      <c r="O331">
        <f>IF(OR(B331="",D331="",E331=""),"",TEXT(B331,"yyyymmdd")&amp;"|"&amp;TEXT(D331,"0.00")&amp;"|"&amp;LOWER(E331)&amp;"|"&amp;K331)</f>
        <v/>
      </c>
    </row>
    <row r="332">
      <c r="B332" s="45" t="n"/>
      <c r="C332" s="46" t="n"/>
      <c r="D332" s="47" t="n"/>
      <c r="M332" s="48" t="n"/>
      <c r="O332">
        <f>IF(OR(B332="",D332="",E332=""),"",TEXT(B332,"yyyymmdd")&amp;"|"&amp;TEXT(D332,"0.00")&amp;"|"&amp;LOWER(E332)&amp;"|"&amp;K332)</f>
        <v/>
      </c>
    </row>
    <row r="333">
      <c r="B333" s="45" t="n"/>
      <c r="C333" s="46" t="n"/>
      <c r="D333" s="47" t="n"/>
      <c r="M333" s="48" t="n"/>
      <c r="O333">
        <f>IF(OR(B333="",D333="",E333=""),"",TEXT(B333,"yyyymmdd")&amp;"|"&amp;TEXT(D333,"0.00")&amp;"|"&amp;LOWER(E333)&amp;"|"&amp;K333)</f>
        <v/>
      </c>
    </row>
    <row r="334">
      <c r="B334" s="45" t="n"/>
      <c r="C334" s="46" t="n"/>
      <c r="D334" s="47" t="n"/>
      <c r="M334" s="48" t="n"/>
      <c r="O334">
        <f>IF(OR(B334="",D334="",E334=""),"",TEXT(B334,"yyyymmdd")&amp;"|"&amp;TEXT(D334,"0.00")&amp;"|"&amp;LOWER(E334)&amp;"|"&amp;K334)</f>
        <v/>
      </c>
    </row>
    <row r="335">
      <c r="B335" s="45" t="n"/>
      <c r="C335" s="46" t="n"/>
      <c r="D335" s="47" t="n"/>
      <c r="M335" s="48" t="n"/>
      <c r="O335">
        <f>IF(OR(B335="",D335="",E335=""),"",TEXT(B335,"yyyymmdd")&amp;"|"&amp;TEXT(D335,"0.00")&amp;"|"&amp;LOWER(E335)&amp;"|"&amp;K335)</f>
        <v/>
      </c>
    </row>
    <row r="336">
      <c r="B336" s="45" t="n"/>
      <c r="C336" s="46" t="n"/>
      <c r="D336" s="47" t="n"/>
      <c r="M336" s="48" t="n"/>
      <c r="O336">
        <f>IF(OR(B336="",D336="",E336=""),"",TEXT(B336,"yyyymmdd")&amp;"|"&amp;TEXT(D336,"0.00")&amp;"|"&amp;LOWER(E336)&amp;"|"&amp;K336)</f>
        <v/>
      </c>
    </row>
    <row r="337">
      <c r="B337" s="45" t="n"/>
      <c r="C337" s="46" t="n"/>
      <c r="D337" s="47" t="n"/>
      <c r="M337" s="48" t="n"/>
      <c r="O337">
        <f>IF(OR(B337="",D337="",E337=""),"",TEXT(B337,"yyyymmdd")&amp;"|"&amp;TEXT(D337,"0.00")&amp;"|"&amp;LOWER(E337)&amp;"|"&amp;K337)</f>
        <v/>
      </c>
    </row>
    <row r="338">
      <c r="B338" s="45" t="n"/>
      <c r="C338" s="46" t="n"/>
      <c r="D338" s="47" t="n"/>
      <c r="M338" s="48" t="n"/>
      <c r="O338">
        <f>IF(OR(B338="",D338="",E338=""),"",TEXT(B338,"yyyymmdd")&amp;"|"&amp;TEXT(D338,"0.00")&amp;"|"&amp;LOWER(E338)&amp;"|"&amp;K338)</f>
        <v/>
      </c>
    </row>
    <row r="339">
      <c r="B339" s="45" t="n"/>
      <c r="C339" s="46" t="n"/>
      <c r="D339" s="47" t="n"/>
      <c r="M339" s="48" t="n"/>
      <c r="O339">
        <f>IF(OR(B339="",D339="",E339=""),"",TEXT(B339,"yyyymmdd")&amp;"|"&amp;TEXT(D339,"0.00")&amp;"|"&amp;LOWER(E339)&amp;"|"&amp;K339)</f>
        <v/>
      </c>
    </row>
    <row r="340">
      <c r="B340" s="45" t="n"/>
      <c r="C340" s="46" t="n"/>
      <c r="D340" s="47" t="n"/>
      <c r="M340" s="48" t="n"/>
      <c r="O340">
        <f>IF(OR(B340="",D340="",E340=""),"",TEXT(B340,"yyyymmdd")&amp;"|"&amp;TEXT(D340,"0.00")&amp;"|"&amp;LOWER(E340)&amp;"|"&amp;K340)</f>
        <v/>
      </c>
    </row>
    <row r="341">
      <c r="B341" s="45" t="n"/>
      <c r="C341" s="46" t="n"/>
      <c r="D341" s="47" t="n"/>
      <c r="M341" s="48" t="n"/>
      <c r="O341">
        <f>IF(OR(B341="",D341="",E341=""),"",TEXT(B341,"yyyymmdd")&amp;"|"&amp;TEXT(D341,"0.00")&amp;"|"&amp;LOWER(E341)&amp;"|"&amp;K341)</f>
        <v/>
      </c>
    </row>
    <row r="342">
      <c r="B342" s="45" t="n"/>
      <c r="C342" s="46" t="n"/>
      <c r="D342" s="47" t="n"/>
      <c r="M342" s="48" t="n"/>
      <c r="O342">
        <f>IF(OR(B342="",D342="",E342=""),"",TEXT(B342,"yyyymmdd")&amp;"|"&amp;TEXT(D342,"0.00")&amp;"|"&amp;LOWER(E342)&amp;"|"&amp;K342)</f>
        <v/>
      </c>
    </row>
    <row r="343">
      <c r="B343" s="45" t="n"/>
      <c r="C343" s="46" t="n"/>
      <c r="D343" s="47" t="n"/>
      <c r="M343" s="48" t="n"/>
      <c r="O343">
        <f>IF(OR(B343="",D343="",E343=""),"",TEXT(B343,"yyyymmdd")&amp;"|"&amp;TEXT(D343,"0.00")&amp;"|"&amp;LOWER(E343)&amp;"|"&amp;K343)</f>
        <v/>
      </c>
    </row>
    <row r="344">
      <c r="B344" s="45" t="n"/>
      <c r="C344" s="46" t="n"/>
      <c r="D344" s="47" t="n"/>
      <c r="M344" s="48" t="n"/>
      <c r="O344">
        <f>IF(OR(B344="",D344="",E344=""),"",TEXT(B344,"yyyymmdd")&amp;"|"&amp;TEXT(D344,"0.00")&amp;"|"&amp;LOWER(E344)&amp;"|"&amp;K344)</f>
        <v/>
      </c>
    </row>
    <row r="345">
      <c r="B345" s="45" t="n"/>
      <c r="C345" s="46" t="n"/>
      <c r="D345" s="47" t="n"/>
      <c r="M345" s="48" t="n"/>
      <c r="O345">
        <f>IF(OR(B345="",D345="",E345=""),"",TEXT(B345,"yyyymmdd")&amp;"|"&amp;TEXT(D345,"0.00")&amp;"|"&amp;LOWER(E345)&amp;"|"&amp;K345)</f>
        <v/>
      </c>
    </row>
    <row r="346">
      <c r="B346" s="45" t="n"/>
      <c r="C346" s="46" t="n"/>
      <c r="D346" s="47" t="n"/>
      <c r="M346" s="48" t="n"/>
      <c r="O346">
        <f>IF(OR(B346="",D346="",E346=""),"",TEXT(B346,"yyyymmdd")&amp;"|"&amp;TEXT(D346,"0.00")&amp;"|"&amp;LOWER(E346)&amp;"|"&amp;K346)</f>
        <v/>
      </c>
    </row>
    <row r="347">
      <c r="B347" s="45" t="n"/>
      <c r="C347" s="46" t="n"/>
      <c r="D347" s="47" t="n"/>
      <c r="M347" s="48" t="n"/>
      <c r="O347">
        <f>IF(OR(B347="",D347="",E347=""),"",TEXT(B347,"yyyymmdd")&amp;"|"&amp;TEXT(D347,"0.00")&amp;"|"&amp;LOWER(E347)&amp;"|"&amp;K347)</f>
        <v/>
      </c>
    </row>
    <row r="348">
      <c r="B348" s="45" t="n"/>
      <c r="C348" s="46" t="n"/>
      <c r="D348" s="47" t="n"/>
      <c r="M348" s="48" t="n"/>
      <c r="O348">
        <f>IF(OR(B348="",D348="",E348=""),"",TEXT(B348,"yyyymmdd")&amp;"|"&amp;TEXT(D348,"0.00")&amp;"|"&amp;LOWER(E348)&amp;"|"&amp;K348)</f>
        <v/>
      </c>
    </row>
    <row r="349">
      <c r="B349" s="45" t="n"/>
      <c r="C349" s="46" t="n"/>
      <c r="D349" s="47" t="n"/>
      <c r="M349" s="48" t="n"/>
      <c r="O349">
        <f>IF(OR(B349="",D349="",E349=""),"",TEXT(B349,"yyyymmdd")&amp;"|"&amp;TEXT(D349,"0.00")&amp;"|"&amp;LOWER(E349)&amp;"|"&amp;K349)</f>
        <v/>
      </c>
    </row>
    <row r="350">
      <c r="B350" s="45" t="n"/>
      <c r="C350" s="46" t="n"/>
      <c r="D350" s="47" t="n"/>
      <c r="M350" s="48" t="n"/>
      <c r="O350">
        <f>IF(OR(B350="",D350="",E350=""),"",TEXT(B350,"yyyymmdd")&amp;"|"&amp;TEXT(D350,"0.00")&amp;"|"&amp;LOWER(E350)&amp;"|"&amp;K350)</f>
        <v/>
      </c>
    </row>
    <row r="351">
      <c r="B351" s="45" t="n"/>
      <c r="C351" s="46" t="n"/>
      <c r="D351" s="47" t="n"/>
      <c r="M351" s="48" t="n"/>
      <c r="O351">
        <f>IF(OR(B351="",D351="",E351=""),"",TEXT(B351,"yyyymmdd")&amp;"|"&amp;TEXT(D351,"0.00")&amp;"|"&amp;LOWER(E351)&amp;"|"&amp;K351)</f>
        <v/>
      </c>
    </row>
    <row r="352">
      <c r="B352" s="45" t="n"/>
      <c r="C352" s="46" t="n"/>
      <c r="D352" s="47" t="n"/>
      <c r="M352" s="48" t="n"/>
      <c r="O352">
        <f>IF(OR(B352="",D352="",E352=""),"",TEXT(B352,"yyyymmdd")&amp;"|"&amp;TEXT(D352,"0.00")&amp;"|"&amp;LOWER(E352)&amp;"|"&amp;K352)</f>
        <v/>
      </c>
    </row>
    <row r="353">
      <c r="B353" s="45" t="n"/>
      <c r="C353" s="46" t="n"/>
      <c r="D353" s="47" t="n"/>
      <c r="M353" s="48" t="n"/>
      <c r="O353">
        <f>IF(OR(B353="",D353="",E353=""),"",TEXT(B353,"yyyymmdd")&amp;"|"&amp;TEXT(D353,"0.00")&amp;"|"&amp;LOWER(E353)&amp;"|"&amp;K353)</f>
        <v/>
      </c>
    </row>
    <row r="354">
      <c r="B354" s="45" t="n"/>
      <c r="C354" s="46" t="n"/>
      <c r="D354" s="47" t="n"/>
      <c r="M354" s="48" t="n"/>
      <c r="O354">
        <f>IF(OR(B354="",D354="",E354=""),"",TEXT(B354,"yyyymmdd")&amp;"|"&amp;TEXT(D354,"0.00")&amp;"|"&amp;LOWER(E354)&amp;"|"&amp;K354)</f>
        <v/>
      </c>
    </row>
    <row r="355">
      <c r="B355" s="45" t="n"/>
      <c r="C355" s="46" t="n"/>
      <c r="D355" s="47" t="n"/>
      <c r="M355" s="48" t="n"/>
      <c r="O355">
        <f>IF(OR(B355="",D355="",E355=""),"",TEXT(B355,"yyyymmdd")&amp;"|"&amp;TEXT(D355,"0.00")&amp;"|"&amp;LOWER(E355)&amp;"|"&amp;K355)</f>
        <v/>
      </c>
    </row>
    <row r="356">
      <c r="B356" s="45" t="n"/>
      <c r="C356" s="46" t="n"/>
      <c r="D356" s="47" t="n"/>
      <c r="M356" s="48" t="n"/>
      <c r="O356">
        <f>IF(OR(B356="",D356="",E356=""),"",TEXT(B356,"yyyymmdd")&amp;"|"&amp;TEXT(D356,"0.00")&amp;"|"&amp;LOWER(E356)&amp;"|"&amp;K356)</f>
        <v/>
      </c>
    </row>
    <row r="357">
      <c r="B357" s="45" t="n"/>
      <c r="C357" s="46" t="n"/>
      <c r="D357" s="47" t="n"/>
      <c r="M357" s="48" t="n"/>
      <c r="O357">
        <f>IF(OR(B357="",D357="",E357=""),"",TEXT(B357,"yyyymmdd")&amp;"|"&amp;TEXT(D357,"0.00")&amp;"|"&amp;LOWER(E357)&amp;"|"&amp;K357)</f>
        <v/>
      </c>
    </row>
    <row r="358">
      <c r="B358" s="45" t="n"/>
      <c r="C358" s="46" t="n"/>
      <c r="D358" s="47" t="n"/>
      <c r="M358" s="48" t="n"/>
      <c r="O358">
        <f>IF(OR(B358="",D358="",E358=""),"",TEXT(B358,"yyyymmdd")&amp;"|"&amp;TEXT(D358,"0.00")&amp;"|"&amp;LOWER(E358)&amp;"|"&amp;K358)</f>
        <v/>
      </c>
    </row>
    <row r="359">
      <c r="B359" s="45" t="n"/>
      <c r="C359" s="46" t="n"/>
      <c r="D359" s="47" t="n"/>
      <c r="M359" s="48" t="n"/>
      <c r="O359">
        <f>IF(OR(B359="",D359="",E359=""),"",TEXT(B359,"yyyymmdd")&amp;"|"&amp;TEXT(D359,"0.00")&amp;"|"&amp;LOWER(E359)&amp;"|"&amp;K359)</f>
        <v/>
      </c>
    </row>
    <row r="360">
      <c r="B360" s="45" t="n"/>
      <c r="C360" s="46" t="n"/>
      <c r="D360" s="47" t="n"/>
      <c r="M360" s="48" t="n"/>
      <c r="O360">
        <f>IF(OR(B360="",D360="",E360=""),"",TEXT(B360,"yyyymmdd")&amp;"|"&amp;TEXT(D360,"0.00")&amp;"|"&amp;LOWER(E360)&amp;"|"&amp;K360)</f>
        <v/>
      </c>
    </row>
    <row r="361">
      <c r="B361" s="45" t="n"/>
      <c r="C361" s="46" t="n"/>
      <c r="D361" s="47" t="n"/>
      <c r="M361" s="48" t="n"/>
      <c r="O361">
        <f>IF(OR(B361="",D361="",E361=""),"",TEXT(B361,"yyyymmdd")&amp;"|"&amp;TEXT(D361,"0.00")&amp;"|"&amp;LOWER(E361)&amp;"|"&amp;K361)</f>
        <v/>
      </c>
    </row>
    <row r="362">
      <c r="B362" s="45" t="n"/>
      <c r="C362" s="46" t="n"/>
      <c r="D362" s="47" t="n"/>
      <c r="M362" s="48" t="n"/>
      <c r="O362">
        <f>IF(OR(B362="",D362="",E362=""),"",TEXT(B362,"yyyymmdd")&amp;"|"&amp;TEXT(D362,"0.00")&amp;"|"&amp;LOWER(E362)&amp;"|"&amp;K362)</f>
        <v/>
      </c>
    </row>
    <row r="363">
      <c r="B363" s="45" t="n"/>
      <c r="C363" s="46" t="n"/>
      <c r="D363" s="47" t="n"/>
      <c r="M363" s="48" t="n"/>
      <c r="O363">
        <f>IF(OR(B363="",D363="",E363=""),"",TEXT(B363,"yyyymmdd")&amp;"|"&amp;TEXT(D363,"0.00")&amp;"|"&amp;LOWER(E363)&amp;"|"&amp;K363)</f>
        <v/>
      </c>
    </row>
    <row r="364">
      <c r="B364" s="45" t="n"/>
      <c r="C364" s="46" t="n"/>
      <c r="D364" s="47" t="n"/>
      <c r="M364" s="48" t="n"/>
      <c r="O364">
        <f>IF(OR(B364="",D364="",E364=""),"",TEXT(B364,"yyyymmdd")&amp;"|"&amp;TEXT(D364,"0.00")&amp;"|"&amp;LOWER(E364)&amp;"|"&amp;K364)</f>
        <v/>
      </c>
    </row>
    <row r="365">
      <c r="B365" s="45" t="n"/>
      <c r="C365" s="46" t="n"/>
      <c r="D365" s="47" t="n"/>
      <c r="M365" s="48" t="n"/>
      <c r="O365">
        <f>IF(OR(B365="",D365="",E365=""),"",TEXT(B365,"yyyymmdd")&amp;"|"&amp;TEXT(D365,"0.00")&amp;"|"&amp;LOWER(E365)&amp;"|"&amp;K365)</f>
        <v/>
      </c>
    </row>
    <row r="366">
      <c r="B366" s="45" t="n"/>
      <c r="C366" s="46" t="n"/>
      <c r="D366" s="47" t="n"/>
      <c r="M366" s="48" t="n"/>
      <c r="O366">
        <f>IF(OR(B366="",D366="",E366=""),"",TEXT(B366,"yyyymmdd")&amp;"|"&amp;TEXT(D366,"0.00")&amp;"|"&amp;LOWER(E366)&amp;"|"&amp;K366)</f>
        <v/>
      </c>
    </row>
    <row r="367">
      <c r="B367" s="45" t="n"/>
      <c r="C367" s="46" t="n"/>
      <c r="D367" s="47" t="n"/>
      <c r="M367" s="48" t="n"/>
      <c r="O367">
        <f>IF(OR(B367="",D367="",E367=""),"",TEXT(B367,"yyyymmdd")&amp;"|"&amp;TEXT(D367,"0.00")&amp;"|"&amp;LOWER(E367)&amp;"|"&amp;K367)</f>
        <v/>
      </c>
    </row>
    <row r="368">
      <c r="B368" s="45" t="n"/>
      <c r="C368" s="46" t="n"/>
      <c r="D368" s="47" t="n"/>
      <c r="M368" s="48" t="n"/>
      <c r="O368">
        <f>IF(OR(B368="",D368="",E368=""),"",TEXT(B368,"yyyymmdd")&amp;"|"&amp;TEXT(D368,"0.00")&amp;"|"&amp;LOWER(E368)&amp;"|"&amp;K368)</f>
        <v/>
      </c>
    </row>
    <row r="369">
      <c r="B369" s="45" t="n"/>
      <c r="C369" s="46" t="n"/>
      <c r="D369" s="47" t="n"/>
      <c r="M369" s="48" t="n"/>
      <c r="O369">
        <f>IF(OR(B369="",D369="",E369=""),"",TEXT(B369,"yyyymmdd")&amp;"|"&amp;TEXT(D369,"0.00")&amp;"|"&amp;LOWER(E369)&amp;"|"&amp;K369)</f>
        <v/>
      </c>
    </row>
    <row r="370">
      <c r="B370" s="45" t="n"/>
      <c r="C370" s="46" t="n"/>
      <c r="D370" s="47" t="n"/>
      <c r="M370" s="48" t="n"/>
      <c r="O370">
        <f>IF(OR(B370="",D370="",E370=""),"",TEXT(B370,"yyyymmdd")&amp;"|"&amp;TEXT(D370,"0.00")&amp;"|"&amp;LOWER(E370)&amp;"|"&amp;K370)</f>
        <v/>
      </c>
    </row>
    <row r="371">
      <c r="B371" s="45" t="n"/>
      <c r="C371" s="46" t="n"/>
      <c r="D371" s="47" t="n"/>
      <c r="M371" s="48" t="n"/>
      <c r="O371">
        <f>IF(OR(B371="",D371="",E371=""),"",TEXT(B371,"yyyymmdd")&amp;"|"&amp;TEXT(D371,"0.00")&amp;"|"&amp;LOWER(E371)&amp;"|"&amp;K371)</f>
        <v/>
      </c>
    </row>
    <row r="372">
      <c r="B372" s="45" t="n"/>
      <c r="C372" s="46" t="n"/>
      <c r="D372" s="47" t="n"/>
      <c r="M372" s="48" t="n"/>
      <c r="O372">
        <f>IF(OR(B372="",D372="",E372=""),"",TEXT(B372,"yyyymmdd")&amp;"|"&amp;TEXT(D372,"0.00")&amp;"|"&amp;LOWER(E372)&amp;"|"&amp;K372)</f>
        <v/>
      </c>
    </row>
    <row r="373">
      <c r="B373" s="45" t="n"/>
      <c r="C373" s="46" t="n"/>
      <c r="D373" s="47" t="n"/>
      <c r="M373" s="48" t="n"/>
      <c r="O373">
        <f>IF(OR(B373="",D373="",E373=""),"",TEXT(B373,"yyyymmdd")&amp;"|"&amp;TEXT(D373,"0.00")&amp;"|"&amp;LOWER(E373)&amp;"|"&amp;K373)</f>
        <v/>
      </c>
    </row>
    <row r="374">
      <c r="B374" s="45" t="n"/>
      <c r="C374" s="46" t="n"/>
      <c r="D374" s="47" t="n"/>
      <c r="M374" s="48" t="n"/>
      <c r="O374">
        <f>IF(OR(B374="",D374="",E374=""),"",TEXT(B374,"yyyymmdd")&amp;"|"&amp;TEXT(D374,"0.00")&amp;"|"&amp;LOWER(E374)&amp;"|"&amp;K374)</f>
        <v/>
      </c>
    </row>
    <row r="375">
      <c r="B375" s="45" t="n"/>
      <c r="C375" s="46" t="n"/>
      <c r="D375" s="47" t="n"/>
      <c r="M375" s="48" t="n"/>
      <c r="O375">
        <f>IF(OR(B375="",D375="",E375=""),"",TEXT(B375,"yyyymmdd")&amp;"|"&amp;TEXT(D375,"0.00")&amp;"|"&amp;LOWER(E375)&amp;"|"&amp;K375)</f>
        <v/>
      </c>
    </row>
    <row r="376">
      <c r="B376" s="45" t="n"/>
      <c r="C376" s="46" t="n"/>
      <c r="D376" s="47" t="n"/>
      <c r="M376" s="48" t="n"/>
      <c r="O376">
        <f>IF(OR(B376="",D376="",E376=""),"",TEXT(B376,"yyyymmdd")&amp;"|"&amp;TEXT(D376,"0.00")&amp;"|"&amp;LOWER(E376)&amp;"|"&amp;K376)</f>
        <v/>
      </c>
    </row>
    <row r="377">
      <c r="B377" s="45" t="n"/>
      <c r="C377" s="46" t="n"/>
      <c r="D377" s="47" t="n"/>
      <c r="M377" s="48" t="n"/>
      <c r="O377">
        <f>IF(OR(B377="",D377="",E377=""),"",TEXT(B377,"yyyymmdd")&amp;"|"&amp;TEXT(D377,"0.00")&amp;"|"&amp;LOWER(E377)&amp;"|"&amp;K377)</f>
        <v/>
      </c>
    </row>
    <row r="378">
      <c r="B378" s="45" t="n"/>
      <c r="C378" s="46" t="n"/>
      <c r="D378" s="47" t="n"/>
      <c r="M378" s="48" t="n"/>
      <c r="O378">
        <f>IF(OR(B378="",D378="",E378=""),"",TEXT(B378,"yyyymmdd")&amp;"|"&amp;TEXT(D378,"0.00")&amp;"|"&amp;LOWER(E378)&amp;"|"&amp;K378)</f>
        <v/>
      </c>
    </row>
    <row r="379">
      <c r="B379" s="45" t="n"/>
      <c r="C379" s="46" t="n"/>
      <c r="D379" s="47" t="n"/>
      <c r="M379" s="48" t="n"/>
      <c r="O379">
        <f>IF(OR(B379="",D379="",E379=""),"",TEXT(B379,"yyyymmdd")&amp;"|"&amp;TEXT(D379,"0.00")&amp;"|"&amp;LOWER(E379)&amp;"|"&amp;K379)</f>
        <v/>
      </c>
    </row>
    <row r="380">
      <c r="B380" s="45" t="n"/>
      <c r="C380" s="46" t="n"/>
      <c r="D380" s="47" t="n"/>
      <c r="M380" s="48" t="n"/>
      <c r="O380">
        <f>IF(OR(B380="",D380="",E380=""),"",TEXT(B380,"yyyymmdd")&amp;"|"&amp;TEXT(D380,"0.00")&amp;"|"&amp;LOWER(E380)&amp;"|"&amp;K380)</f>
        <v/>
      </c>
    </row>
    <row r="381">
      <c r="B381" s="45" t="n"/>
      <c r="C381" s="46" t="n"/>
      <c r="D381" s="47" t="n"/>
      <c r="M381" s="48" t="n"/>
      <c r="O381">
        <f>IF(OR(B381="",D381="",E381=""),"",TEXT(B381,"yyyymmdd")&amp;"|"&amp;TEXT(D381,"0.00")&amp;"|"&amp;LOWER(E381)&amp;"|"&amp;K381)</f>
        <v/>
      </c>
    </row>
    <row r="382">
      <c r="B382" s="45" t="n"/>
      <c r="C382" s="46" t="n"/>
      <c r="D382" s="47" t="n"/>
      <c r="M382" s="48" t="n"/>
      <c r="O382">
        <f>IF(OR(B382="",D382="",E382=""),"",TEXT(B382,"yyyymmdd")&amp;"|"&amp;TEXT(D382,"0.00")&amp;"|"&amp;LOWER(E382)&amp;"|"&amp;K382)</f>
        <v/>
      </c>
    </row>
    <row r="383">
      <c r="B383" s="45" t="n"/>
      <c r="C383" s="46" t="n"/>
      <c r="D383" s="47" t="n"/>
      <c r="M383" s="48" t="n"/>
      <c r="O383">
        <f>IF(OR(B383="",D383="",E383=""),"",TEXT(B383,"yyyymmdd")&amp;"|"&amp;TEXT(D383,"0.00")&amp;"|"&amp;LOWER(E383)&amp;"|"&amp;K383)</f>
        <v/>
      </c>
    </row>
    <row r="384">
      <c r="B384" s="45" t="n"/>
      <c r="C384" s="46" t="n"/>
      <c r="D384" s="47" t="n"/>
      <c r="M384" s="48" t="n"/>
      <c r="O384">
        <f>IF(OR(B384="",D384="",E384=""),"",TEXT(B384,"yyyymmdd")&amp;"|"&amp;TEXT(D384,"0.00")&amp;"|"&amp;LOWER(E384)&amp;"|"&amp;K384)</f>
        <v/>
      </c>
    </row>
    <row r="385">
      <c r="B385" s="45" t="n"/>
      <c r="C385" s="46" t="n"/>
      <c r="D385" s="47" t="n"/>
      <c r="M385" s="48" t="n"/>
      <c r="O385">
        <f>IF(OR(B385="",D385="",E385=""),"",TEXT(B385,"yyyymmdd")&amp;"|"&amp;TEXT(D385,"0.00")&amp;"|"&amp;LOWER(E385)&amp;"|"&amp;K385)</f>
        <v/>
      </c>
    </row>
    <row r="386">
      <c r="B386" s="45" t="n"/>
      <c r="C386" s="46" t="n"/>
      <c r="D386" s="47" t="n"/>
      <c r="M386" s="48" t="n"/>
      <c r="O386">
        <f>IF(OR(B386="",D386="",E386=""),"",TEXT(B386,"yyyymmdd")&amp;"|"&amp;TEXT(D386,"0.00")&amp;"|"&amp;LOWER(E386)&amp;"|"&amp;K386)</f>
        <v/>
      </c>
    </row>
    <row r="387">
      <c r="B387" s="45" t="n"/>
      <c r="C387" s="46" t="n"/>
      <c r="D387" s="47" t="n"/>
      <c r="M387" s="48" t="n"/>
      <c r="O387">
        <f>IF(OR(B387="",D387="",E387=""),"",TEXT(B387,"yyyymmdd")&amp;"|"&amp;TEXT(D387,"0.00")&amp;"|"&amp;LOWER(E387)&amp;"|"&amp;K387)</f>
        <v/>
      </c>
    </row>
    <row r="388">
      <c r="B388" s="45" t="n"/>
      <c r="C388" s="46" t="n"/>
      <c r="D388" s="47" t="n"/>
      <c r="M388" s="48" t="n"/>
      <c r="O388">
        <f>IF(OR(B388="",D388="",E388=""),"",TEXT(B388,"yyyymmdd")&amp;"|"&amp;TEXT(D388,"0.00")&amp;"|"&amp;LOWER(E388)&amp;"|"&amp;K388)</f>
        <v/>
      </c>
    </row>
    <row r="389">
      <c r="B389" s="45" t="n"/>
      <c r="C389" s="46" t="n"/>
      <c r="D389" s="47" t="n"/>
      <c r="M389" s="48" t="n"/>
      <c r="O389">
        <f>IF(OR(B389="",D389="",E389=""),"",TEXT(B389,"yyyymmdd")&amp;"|"&amp;TEXT(D389,"0.00")&amp;"|"&amp;LOWER(E389)&amp;"|"&amp;K389)</f>
        <v/>
      </c>
    </row>
    <row r="390">
      <c r="B390" s="45" t="n"/>
      <c r="C390" s="46" t="n"/>
      <c r="D390" s="47" t="n"/>
      <c r="M390" s="48" t="n"/>
      <c r="O390">
        <f>IF(OR(B390="",D390="",E390=""),"",TEXT(B390,"yyyymmdd")&amp;"|"&amp;TEXT(D390,"0.00")&amp;"|"&amp;LOWER(E390)&amp;"|"&amp;K390)</f>
        <v/>
      </c>
    </row>
    <row r="391">
      <c r="B391" s="45" t="n"/>
      <c r="C391" s="46" t="n"/>
      <c r="D391" s="47" t="n"/>
      <c r="M391" s="48" t="n"/>
      <c r="O391">
        <f>IF(OR(B391="",D391="",E391=""),"",TEXT(B391,"yyyymmdd")&amp;"|"&amp;TEXT(D391,"0.00")&amp;"|"&amp;LOWER(E391)&amp;"|"&amp;K391)</f>
        <v/>
      </c>
    </row>
    <row r="392">
      <c r="B392" s="45" t="n"/>
      <c r="C392" s="46" t="n"/>
      <c r="D392" s="47" t="n"/>
      <c r="M392" s="48" t="n"/>
      <c r="O392">
        <f>IF(OR(B392="",D392="",E392=""),"",TEXT(B392,"yyyymmdd")&amp;"|"&amp;TEXT(D392,"0.00")&amp;"|"&amp;LOWER(E392)&amp;"|"&amp;K392)</f>
        <v/>
      </c>
    </row>
    <row r="393">
      <c r="B393" s="45" t="n"/>
      <c r="C393" s="46" t="n"/>
      <c r="D393" s="47" t="n"/>
      <c r="M393" s="48" t="n"/>
      <c r="O393">
        <f>IF(OR(B393="",D393="",E393=""),"",TEXT(B393,"yyyymmdd")&amp;"|"&amp;TEXT(D393,"0.00")&amp;"|"&amp;LOWER(E393)&amp;"|"&amp;K393)</f>
        <v/>
      </c>
    </row>
    <row r="394">
      <c r="B394" s="45" t="n"/>
      <c r="C394" s="46" t="n"/>
      <c r="D394" s="47" t="n"/>
      <c r="M394" s="48" t="n"/>
      <c r="O394">
        <f>IF(OR(B394="",D394="",E394=""),"",TEXT(B394,"yyyymmdd")&amp;"|"&amp;TEXT(D394,"0.00")&amp;"|"&amp;LOWER(E394)&amp;"|"&amp;K394)</f>
        <v/>
      </c>
    </row>
    <row r="395">
      <c r="B395" s="45" t="n"/>
      <c r="C395" s="46" t="n"/>
      <c r="D395" s="47" t="n"/>
      <c r="M395" s="48" t="n"/>
      <c r="O395">
        <f>IF(OR(B395="",D395="",E395=""),"",TEXT(B395,"yyyymmdd")&amp;"|"&amp;TEXT(D395,"0.00")&amp;"|"&amp;LOWER(E395)&amp;"|"&amp;K395)</f>
        <v/>
      </c>
    </row>
    <row r="396">
      <c r="B396" s="45" t="n"/>
      <c r="C396" s="46" t="n"/>
      <c r="D396" s="47" t="n"/>
      <c r="M396" s="48" t="n"/>
      <c r="O396">
        <f>IF(OR(B396="",D396="",E396=""),"",TEXT(B396,"yyyymmdd")&amp;"|"&amp;TEXT(D396,"0.00")&amp;"|"&amp;LOWER(E396)&amp;"|"&amp;K396)</f>
        <v/>
      </c>
    </row>
    <row r="397">
      <c r="B397" s="45" t="n"/>
      <c r="C397" s="46" t="n"/>
      <c r="D397" s="47" t="n"/>
      <c r="M397" s="48" t="n"/>
      <c r="O397">
        <f>IF(OR(B397="",D397="",E397=""),"",TEXT(B397,"yyyymmdd")&amp;"|"&amp;TEXT(D397,"0.00")&amp;"|"&amp;LOWER(E397)&amp;"|"&amp;K397)</f>
        <v/>
      </c>
    </row>
    <row r="398">
      <c r="B398" s="45" t="n"/>
      <c r="C398" s="46" t="n"/>
      <c r="D398" s="47" t="n"/>
      <c r="M398" s="48" t="n"/>
      <c r="O398">
        <f>IF(OR(B398="",D398="",E398=""),"",TEXT(B398,"yyyymmdd")&amp;"|"&amp;TEXT(D398,"0.00")&amp;"|"&amp;LOWER(E398)&amp;"|"&amp;K398)</f>
        <v/>
      </c>
    </row>
    <row r="399">
      <c r="B399" s="45" t="n"/>
      <c r="C399" s="46" t="n"/>
      <c r="D399" s="47" t="n"/>
      <c r="M399" s="48" t="n"/>
      <c r="O399">
        <f>IF(OR(B399="",D399="",E399=""),"",TEXT(B399,"yyyymmdd")&amp;"|"&amp;TEXT(D399,"0.00")&amp;"|"&amp;LOWER(E399)&amp;"|"&amp;K399)</f>
        <v/>
      </c>
    </row>
    <row r="400">
      <c r="B400" s="45" t="n"/>
      <c r="C400" s="46" t="n"/>
      <c r="D400" s="47" t="n"/>
      <c r="M400" s="48" t="n"/>
      <c r="O400">
        <f>IF(OR(B400="",D400="",E400=""),"",TEXT(B400,"yyyymmdd")&amp;"|"&amp;TEXT(D400,"0.00")&amp;"|"&amp;LOWER(E400)&amp;"|"&amp;K400)</f>
        <v/>
      </c>
    </row>
    <row r="401">
      <c r="B401" s="45" t="n"/>
      <c r="C401" s="46" t="n"/>
      <c r="D401" s="47" t="n"/>
      <c r="M401" s="48" t="n"/>
      <c r="O401">
        <f>IF(OR(B401="",D401="",E401=""),"",TEXT(B401,"yyyymmdd")&amp;"|"&amp;TEXT(D401,"0.00")&amp;"|"&amp;LOWER(E401)&amp;"|"&amp;K401)</f>
        <v/>
      </c>
    </row>
    <row r="402">
      <c r="B402" s="45" t="n"/>
      <c r="C402" s="46" t="n"/>
      <c r="D402" s="47" t="n"/>
      <c r="M402" s="48" t="n"/>
      <c r="O402">
        <f>IF(OR(B402="",D402="",E402=""),"",TEXT(B402,"yyyymmdd")&amp;"|"&amp;TEXT(D402,"0.00")&amp;"|"&amp;LOWER(E402)&amp;"|"&amp;K402)</f>
        <v/>
      </c>
    </row>
    <row r="403">
      <c r="B403" s="45" t="n"/>
      <c r="C403" s="46" t="n"/>
      <c r="D403" s="47" t="n"/>
      <c r="M403" s="48" t="n"/>
      <c r="O403">
        <f>IF(OR(B403="",D403="",E403=""),"",TEXT(B403,"yyyymmdd")&amp;"|"&amp;TEXT(D403,"0.00")&amp;"|"&amp;LOWER(E403)&amp;"|"&amp;K403)</f>
        <v/>
      </c>
    </row>
    <row r="404">
      <c r="B404" s="45" t="n"/>
      <c r="C404" s="46" t="n"/>
      <c r="D404" s="47" t="n"/>
      <c r="M404" s="48" t="n"/>
      <c r="O404">
        <f>IF(OR(B404="",D404="",E404=""),"",TEXT(B404,"yyyymmdd")&amp;"|"&amp;TEXT(D404,"0.00")&amp;"|"&amp;LOWER(E404)&amp;"|"&amp;K404)</f>
        <v/>
      </c>
    </row>
    <row r="405">
      <c r="B405" s="45" t="n"/>
      <c r="C405" s="46" t="n"/>
      <c r="D405" s="47" t="n"/>
      <c r="M405" s="48" t="n"/>
      <c r="O405">
        <f>IF(OR(B405="",D405="",E405=""),"",TEXT(B405,"yyyymmdd")&amp;"|"&amp;TEXT(D405,"0.00")&amp;"|"&amp;LOWER(E405)&amp;"|"&amp;K405)</f>
        <v/>
      </c>
    </row>
    <row r="406">
      <c r="B406" s="45" t="n"/>
      <c r="C406" s="46" t="n"/>
      <c r="D406" s="47" t="n"/>
      <c r="M406" s="48" t="n"/>
      <c r="O406">
        <f>IF(OR(B406="",D406="",E406=""),"",TEXT(B406,"yyyymmdd")&amp;"|"&amp;TEXT(D406,"0.00")&amp;"|"&amp;LOWER(E406)&amp;"|"&amp;K406)</f>
        <v/>
      </c>
    </row>
    <row r="407">
      <c r="B407" s="45" t="n"/>
      <c r="C407" s="46" t="n"/>
      <c r="D407" s="47" t="n"/>
      <c r="M407" s="48" t="n"/>
      <c r="O407">
        <f>IF(OR(B407="",D407="",E407=""),"",TEXT(B407,"yyyymmdd")&amp;"|"&amp;TEXT(D407,"0.00")&amp;"|"&amp;LOWER(E407)&amp;"|"&amp;K407)</f>
        <v/>
      </c>
    </row>
    <row r="408">
      <c r="B408" s="45" t="n"/>
      <c r="C408" s="46" t="n"/>
      <c r="D408" s="47" t="n"/>
      <c r="M408" s="48" t="n"/>
      <c r="O408">
        <f>IF(OR(B408="",D408="",E408=""),"",TEXT(B408,"yyyymmdd")&amp;"|"&amp;TEXT(D408,"0.00")&amp;"|"&amp;LOWER(E408)&amp;"|"&amp;K408)</f>
        <v/>
      </c>
    </row>
    <row r="409">
      <c r="B409" s="45" t="n"/>
      <c r="C409" s="46" t="n"/>
      <c r="D409" s="47" t="n"/>
      <c r="M409" s="48" t="n"/>
      <c r="O409">
        <f>IF(OR(B409="",D409="",E409=""),"",TEXT(B409,"yyyymmdd")&amp;"|"&amp;TEXT(D409,"0.00")&amp;"|"&amp;LOWER(E409)&amp;"|"&amp;K409)</f>
        <v/>
      </c>
    </row>
    <row r="410">
      <c r="B410" s="45" t="n"/>
      <c r="C410" s="46" t="n"/>
      <c r="D410" s="47" t="n"/>
      <c r="M410" s="48" t="n"/>
      <c r="O410">
        <f>IF(OR(B410="",D410="",E410=""),"",TEXT(B410,"yyyymmdd")&amp;"|"&amp;TEXT(D410,"0.00")&amp;"|"&amp;LOWER(E410)&amp;"|"&amp;K410)</f>
        <v/>
      </c>
    </row>
    <row r="411">
      <c r="B411" s="45" t="n"/>
      <c r="C411" s="46" t="n"/>
      <c r="D411" s="47" t="n"/>
      <c r="M411" s="48" t="n"/>
      <c r="O411">
        <f>IF(OR(B411="",D411="",E411=""),"",TEXT(B411,"yyyymmdd")&amp;"|"&amp;TEXT(D411,"0.00")&amp;"|"&amp;LOWER(E411)&amp;"|"&amp;K411)</f>
        <v/>
      </c>
    </row>
    <row r="412">
      <c r="B412" s="45" t="n"/>
      <c r="C412" s="46" t="n"/>
      <c r="D412" s="47" t="n"/>
      <c r="M412" s="48" t="n"/>
      <c r="O412">
        <f>IF(OR(B412="",D412="",E412=""),"",TEXT(B412,"yyyymmdd")&amp;"|"&amp;TEXT(D412,"0.00")&amp;"|"&amp;LOWER(E412)&amp;"|"&amp;K412)</f>
        <v/>
      </c>
    </row>
    <row r="413">
      <c r="B413" s="45" t="n"/>
      <c r="C413" s="46" t="n"/>
      <c r="D413" s="47" t="n"/>
      <c r="M413" s="48" t="n"/>
      <c r="O413">
        <f>IF(OR(B413="",D413="",E413=""),"",TEXT(B413,"yyyymmdd")&amp;"|"&amp;TEXT(D413,"0.00")&amp;"|"&amp;LOWER(E413)&amp;"|"&amp;K413)</f>
        <v/>
      </c>
    </row>
    <row r="414">
      <c r="B414" s="45" t="n"/>
      <c r="C414" s="46" t="n"/>
      <c r="D414" s="47" t="n"/>
      <c r="M414" s="48" t="n"/>
      <c r="O414">
        <f>IF(OR(B414="",D414="",E414=""),"",TEXT(B414,"yyyymmdd")&amp;"|"&amp;TEXT(D414,"0.00")&amp;"|"&amp;LOWER(E414)&amp;"|"&amp;K414)</f>
        <v/>
      </c>
    </row>
    <row r="415">
      <c r="B415" s="45" t="n"/>
      <c r="C415" s="46" t="n"/>
      <c r="D415" s="47" t="n"/>
      <c r="M415" s="48" t="n"/>
      <c r="O415">
        <f>IF(OR(B415="",D415="",E415=""),"",TEXT(B415,"yyyymmdd")&amp;"|"&amp;TEXT(D415,"0.00")&amp;"|"&amp;LOWER(E415)&amp;"|"&amp;K415)</f>
        <v/>
      </c>
    </row>
    <row r="416">
      <c r="B416" s="45" t="n"/>
      <c r="C416" s="46" t="n"/>
      <c r="D416" s="47" t="n"/>
      <c r="M416" s="48" t="n"/>
      <c r="O416">
        <f>IF(OR(B416="",D416="",E416=""),"",TEXT(B416,"yyyymmdd")&amp;"|"&amp;TEXT(D416,"0.00")&amp;"|"&amp;LOWER(E416)&amp;"|"&amp;K416)</f>
        <v/>
      </c>
    </row>
    <row r="417">
      <c r="B417" s="45" t="n"/>
      <c r="C417" s="46" t="n"/>
      <c r="D417" s="47" t="n"/>
      <c r="M417" s="48" t="n"/>
      <c r="O417">
        <f>IF(OR(B417="",D417="",E417=""),"",TEXT(B417,"yyyymmdd")&amp;"|"&amp;TEXT(D417,"0.00")&amp;"|"&amp;LOWER(E417)&amp;"|"&amp;K417)</f>
        <v/>
      </c>
    </row>
    <row r="418">
      <c r="B418" s="45" t="n"/>
      <c r="C418" s="46" t="n"/>
      <c r="D418" s="47" t="n"/>
      <c r="M418" s="48" t="n"/>
      <c r="O418">
        <f>IF(OR(B418="",D418="",E418=""),"",TEXT(B418,"yyyymmdd")&amp;"|"&amp;TEXT(D418,"0.00")&amp;"|"&amp;LOWER(E418)&amp;"|"&amp;K418)</f>
        <v/>
      </c>
    </row>
    <row r="419">
      <c r="B419" s="45" t="n"/>
      <c r="C419" s="46" t="n"/>
      <c r="D419" s="47" t="n"/>
      <c r="M419" s="48" t="n"/>
      <c r="O419">
        <f>IF(OR(B419="",D419="",E419=""),"",TEXT(B419,"yyyymmdd")&amp;"|"&amp;TEXT(D419,"0.00")&amp;"|"&amp;LOWER(E419)&amp;"|"&amp;K419)</f>
        <v/>
      </c>
    </row>
    <row r="420">
      <c r="B420" s="45" t="n"/>
      <c r="C420" s="46" t="n"/>
      <c r="D420" s="47" t="n"/>
      <c r="M420" s="48" t="n"/>
      <c r="O420">
        <f>IF(OR(B420="",D420="",E420=""),"",TEXT(B420,"yyyymmdd")&amp;"|"&amp;TEXT(D420,"0.00")&amp;"|"&amp;LOWER(E420)&amp;"|"&amp;K420)</f>
        <v/>
      </c>
    </row>
    <row r="421">
      <c r="B421" s="45" t="n"/>
      <c r="C421" s="46" t="n"/>
      <c r="D421" s="47" t="n"/>
      <c r="M421" s="48" t="n"/>
      <c r="O421">
        <f>IF(OR(B421="",D421="",E421=""),"",TEXT(B421,"yyyymmdd")&amp;"|"&amp;TEXT(D421,"0.00")&amp;"|"&amp;LOWER(E421)&amp;"|"&amp;K421)</f>
        <v/>
      </c>
    </row>
    <row r="422">
      <c r="B422" s="45" t="n"/>
      <c r="C422" s="46" t="n"/>
      <c r="D422" s="47" t="n"/>
      <c r="M422" s="48" t="n"/>
      <c r="O422">
        <f>IF(OR(B422="",D422="",E422=""),"",TEXT(B422,"yyyymmdd")&amp;"|"&amp;TEXT(D422,"0.00")&amp;"|"&amp;LOWER(E422)&amp;"|"&amp;K422)</f>
        <v/>
      </c>
    </row>
    <row r="423">
      <c r="B423" s="45" t="n"/>
      <c r="C423" s="46" t="n"/>
      <c r="D423" s="47" t="n"/>
      <c r="M423" s="48" t="n"/>
      <c r="O423">
        <f>IF(OR(B423="",D423="",E423=""),"",TEXT(B423,"yyyymmdd")&amp;"|"&amp;TEXT(D423,"0.00")&amp;"|"&amp;LOWER(E423)&amp;"|"&amp;K423)</f>
        <v/>
      </c>
    </row>
    <row r="424">
      <c r="B424" s="45" t="n"/>
      <c r="C424" s="46" t="n"/>
      <c r="D424" s="47" t="n"/>
      <c r="M424" s="48" t="n"/>
      <c r="O424">
        <f>IF(OR(B424="",D424="",E424=""),"",TEXT(B424,"yyyymmdd")&amp;"|"&amp;TEXT(D424,"0.00")&amp;"|"&amp;LOWER(E424)&amp;"|"&amp;K424)</f>
        <v/>
      </c>
    </row>
    <row r="425">
      <c r="B425" s="45" t="n"/>
      <c r="C425" s="46" t="n"/>
      <c r="D425" s="47" t="n"/>
      <c r="M425" s="48" t="n"/>
      <c r="O425">
        <f>IF(OR(B425="",D425="",E425=""),"",TEXT(B425,"yyyymmdd")&amp;"|"&amp;TEXT(D425,"0.00")&amp;"|"&amp;LOWER(E425)&amp;"|"&amp;K425)</f>
        <v/>
      </c>
    </row>
    <row r="426">
      <c r="B426" s="45" t="n"/>
      <c r="C426" s="46" t="n"/>
      <c r="D426" s="47" t="n"/>
      <c r="M426" s="48" t="n"/>
      <c r="O426">
        <f>IF(OR(B426="",D426="",E426=""),"",TEXT(B426,"yyyymmdd")&amp;"|"&amp;TEXT(D426,"0.00")&amp;"|"&amp;LOWER(E426)&amp;"|"&amp;K426)</f>
        <v/>
      </c>
    </row>
    <row r="427">
      <c r="B427" s="45" t="n"/>
      <c r="C427" s="46" t="n"/>
      <c r="D427" s="47" t="n"/>
      <c r="M427" s="48" t="n"/>
      <c r="O427">
        <f>IF(OR(B427="",D427="",E427=""),"",TEXT(B427,"yyyymmdd")&amp;"|"&amp;TEXT(D427,"0.00")&amp;"|"&amp;LOWER(E427)&amp;"|"&amp;K427)</f>
        <v/>
      </c>
    </row>
    <row r="428">
      <c r="B428" s="45" t="n"/>
      <c r="C428" s="46" t="n"/>
      <c r="D428" s="47" t="n"/>
      <c r="M428" s="48" t="n"/>
      <c r="O428">
        <f>IF(OR(B428="",D428="",E428=""),"",TEXT(B428,"yyyymmdd")&amp;"|"&amp;TEXT(D428,"0.00")&amp;"|"&amp;LOWER(E428)&amp;"|"&amp;K428)</f>
        <v/>
      </c>
    </row>
    <row r="429">
      <c r="B429" s="45" t="n"/>
      <c r="C429" s="46" t="n"/>
      <c r="D429" s="47" t="n"/>
      <c r="M429" s="48" t="n"/>
      <c r="O429">
        <f>IF(OR(B429="",D429="",E429=""),"",TEXT(B429,"yyyymmdd")&amp;"|"&amp;TEXT(D429,"0.00")&amp;"|"&amp;LOWER(E429)&amp;"|"&amp;K429)</f>
        <v/>
      </c>
    </row>
    <row r="430">
      <c r="B430" s="45" t="n"/>
      <c r="C430" s="46" t="n"/>
      <c r="D430" s="47" t="n"/>
      <c r="M430" s="48" t="n"/>
      <c r="O430">
        <f>IF(OR(B430="",D430="",E430=""),"",TEXT(B430,"yyyymmdd")&amp;"|"&amp;TEXT(D430,"0.00")&amp;"|"&amp;LOWER(E430)&amp;"|"&amp;K430)</f>
        <v/>
      </c>
    </row>
    <row r="431">
      <c r="B431" s="45" t="n"/>
      <c r="C431" s="46" t="n"/>
      <c r="D431" s="47" t="n"/>
      <c r="M431" s="48" t="n"/>
      <c r="O431">
        <f>IF(OR(B431="",D431="",E431=""),"",TEXT(B431,"yyyymmdd")&amp;"|"&amp;TEXT(D431,"0.00")&amp;"|"&amp;LOWER(E431)&amp;"|"&amp;K431)</f>
        <v/>
      </c>
    </row>
    <row r="432">
      <c r="B432" s="45" t="n"/>
      <c r="C432" s="46" t="n"/>
      <c r="D432" s="47" t="n"/>
      <c r="M432" s="48" t="n"/>
      <c r="O432">
        <f>IF(OR(B432="",D432="",E432=""),"",TEXT(B432,"yyyymmdd")&amp;"|"&amp;TEXT(D432,"0.00")&amp;"|"&amp;LOWER(E432)&amp;"|"&amp;K432)</f>
        <v/>
      </c>
    </row>
    <row r="433">
      <c r="B433" s="45" t="n"/>
      <c r="C433" s="46" t="n"/>
      <c r="D433" s="47" t="n"/>
      <c r="M433" s="48" t="n"/>
      <c r="O433">
        <f>IF(OR(B433="",D433="",E433=""),"",TEXT(B433,"yyyymmdd")&amp;"|"&amp;TEXT(D433,"0.00")&amp;"|"&amp;LOWER(E433)&amp;"|"&amp;K433)</f>
        <v/>
      </c>
    </row>
    <row r="434">
      <c r="B434" s="45" t="n"/>
      <c r="C434" s="46" t="n"/>
      <c r="D434" s="47" t="n"/>
      <c r="M434" s="48" t="n"/>
      <c r="O434">
        <f>IF(OR(B434="",D434="",E434=""),"",TEXT(B434,"yyyymmdd")&amp;"|"&amp;TEXT(D434,"0.00")&amp;"|"&amp;LOWER(E434)&amp;"|"&amp;K434)</f>
        <v/>
      </c>
    </row>
    <row r="435">
      <c r="B435" s="45" t="n"/>
      <c r="C435" s="46" t="n"/>
      <c r="D435" s="47" t="n"/>
      <c r="M435" s="48" t="n"/>
      <c r="O435">
        <f>IF(OR(B435="",D435="",E435=""),"",TEXT(B435,"yyyymmdd")&amp;"|"&amp;TEXT(D435,"0.00")&amp;"|"&amp;LOWER(E435)&amp;"|"&amp;K435)</f>
        <v/>
      </c>
    </row>
    <row r="436">
      <c r="B436" s="45" t="n"/>
      <c r="C436" s="46" t="n"/>
      <c r="D436" s="47" t="n"/>
      <c r="M436" s="48" t="n"/>
      <c r="O436">
        <f>IF(OR(B436="",D436="",E436=""),"",TEXT(B436,"yyyymmdd")&amp;"|"&amp;TEXT(D436,"0.00")&amp;"|"&amp;LOWER(E436)&amp;"|"&amp;K436)</f>
        <v/>
      </c>
    </row>
    <row r="437">
      <c r="B437" s="45" t="n"/>
      <c r="C437" s="46" t="n"/>
      <c r="D437" s="47" t="n"/>
      <c r="M437" s="48" t="n"/>
      <c r="O437">
        <f>IF(OR(B437="",D437="",E437=""),"",TEXT(B437,"yyyymmdd")&amp;"|"&amp;TEXT(D437,"0.00")&amp;"|"&amp;LOWER(E437)&amp;"|"&amp;K437)</f>
        <v/>
      </c>
    </row>
    <row r="438">
      <c r="B438" s="45" t="n"/>
      <c r="C438" s="46" t="n"/>
      <c r="D438" s="47" t="n"/>
      <c r="M438" s="48" t="n"/>
      <c r="O438">
        <f>IF(OR(B438="",D438="",E438=""),"",TEXT(B438,"yyyymmdd")&amp;"|"&amp;TEXT(D438,"0.00")&amp;"|"&amp;LOWER(E438)&amp;"|"&amp;K438)</f>
        <v/>
      </c>
    </row>
    <row r="439">
      <c r="B439" s="45" t="n"/>
      <c r="C439" s="46" t="n"/>
      <c r="D439" s="47" t="n"/>
      <c r="M439" s="48" t="n"/>
      <c r="O439">
        <f>IF(OR(B439="",D439="",E439=""),"",TEXT(B439,"yyyymmdd")&amp;"|"&amp;TEXT(D439,"0.00")&amp;"|"&amp;LOWER(E439)&amp;"|"&amp;K439)</f>
        <v/>
      </c>
    </row>
    <row r="440">
      <c r="B440" s="45" t="n"/>
      <c r="C440" s="46" t="n"/>
      <c r="D440" s="47" t="n"/>
      <c r="M440" s="48" t="n"/>
      <c r="O440">
        <f>IF(OR(B440="",D440="",E440=""),"",TEXT(B440,"yyyymmdd")&amp;"|"&amp;TEXT(D440,"0.00")&amp;"|"&amp;LOWER(E440)&amp;"|"&amp;K440)</f>
        <v/>
      </c>
    </row>
    <row r="441">
      <c r="B441" s="45" t="n"/>
      <c r="C441" s="46" t="n"/>
      <c r="D441" s="47" t="n"/>
      <c r="M441" s="48" t="n"/>
      <c r="O441">
        <f>IF(OR(B441="",D441="",E441=""),"",TEXT(B441,"yyyymmdd")&amp;"|"&amp;TEXT(D441,"0.00")&amp;"|"&amp;LOWER(E441)&amp;"|"&amp;K441)</f>
        <v/>
      </c>
    </row>
    <row r="442">
      <c r="B442" s="45" t="n"/>
      <c r="C442" s="46" t="n"/>
      <c r="D442" s="47" t="n"/>
      <c r="M442" s="48" t="n"/>
      <c r="O442">
        <f>IF(OR(B442="",D442="",E442=""),"",TEXT(B442,"yyyymmdd")&amp;"|"&amp;TEXT(D442,"0.00")&amp;"|"&amp;LOWER(E442)&amp;"|"&amp;K442)</f>
        <v/>
      </c>
    </row>
    <row r="443">
      <c r="B443" s="45" t="n"/>
      <c r="C443" s="46" t="n"/>
      <c r="D443" s="47" t="n"/>
      <c r="M443" s="48" t="n"/>
      <c r="O443">
        <f>IF(OR(B443="",D443="",E443=""),"",TEXT(B443,"yyyymmdd")&amp;"|"&amp;TEXT(D443,"0.00")&amp;"|"&amp;LOWER(E443)&amp;"|"&amp;K443)</f>
        <v/>
      </c>
    </row>
    <row r="444">
      <c r="B444" s="45" t="n"/>
      <c r="C444" s="46" t="n"/>
      <c r="D444" s="47" t="n"/>
      <c r="M444" s="48" t="n"/>
      <c r="O444">
        <f>IF(OR(B444="",D444="",E444=""),"",TEXT(B444,"yyyymmdd")&amp;"|"&amp;TEXT(D444,"0.00")&amp;"|"&amp;LOWER(E444)&amp;"|"&amp;K444)</f>
        <v/>
      </c>
    </row>
    <row r="445">
      <c r="B445" s="45" t="n"/>
      <c r="C445" s="46" t="n"/>
      <c r="D445" s="47" t="n"/>
      <c r="M445" s="48" t="n"/>
      <c r="O445">
        <f>IF(OR(B445="",D445="",E445=""),"",TEXT(B445,"yyyymmdd")&amp;"|"&amp;TEXT(D445,"0.00")&amp;"|"&amp;LOWER(E445)&amp;"|"&amp;K445)</f>
        <v/>
      </c>
    </row>
    <row r="446">
      <c r="B446" s="45" t="n"/>
      <c r="C446" s="46" t="n"/>
      <c r="D446" s="47" t="n"/>
      <c r="M446" s="48" t="n"/>
      <c r="O446">
        <f>IF(OR(B446="",D446="",E446=""),"",TEXT(B446,"yyyymmdd")&amp;"|"&amp;TEXT(D446,"0.00")&amp;"|"&amp;LOWER(E446)&amp;"|"&amp;K446)</f>
        <v/>
      </c>
    </row>
    <row r="447">
      <c r="B447" s="45" t="n"/>
      <c r="C447" s="46" t="n"/>
      <c r="D447" s="47" t="n"/>
      <c r="M447" s="48" t="n"/>
      <c r="O447">
        <f>IF(OR(B447="",D447="",E447=""),"",TEXT(B447,"yyyymmdd")&amp;"|"&amp;TEXT(D447,"0.00")&amp;"|"&amp;LOWER(E447)&amp;"|"&amp;K447)</f>
        <v/>
      </c>
    </row>
    <row r="448">
      <c r="B448" s="45" t="n"/>
      <c r="C448" s="46" t="n"/>
      <c r="D448" s="47" t="n"/>
      <c r="M448" s="48" t="n"/>
      <c r="O448">
        <f>IF(OR(B448="",D448="",E448=""),"",TEXT(B448,"yyyymmdd")&amp;"|"&amp;TEXT(D448,"0.00")&amp;"|"&amp;LOWER(E448)&amp;"|"&amp;K448)</f>
        <v/>
      </c>
    </row>
    <row r="449">
      <c r="B449" s="45" t="n"/>
      <c r="C449" s="46" t="n"/>
      <c r="D449" s="47" t="n"/>
      <c r="M449" s="48" t="n"/>
      <c r="O449">
        <f>IF(OR(B449="",D449="",E449=""),"",TEXT(B449,"yyyymmdd")&amp;"|"&amp;TEXT(D449,"0.00")&amp;"|"&amp;LOWER(E449)&amp;"|"&amp;K449)</f>
        <v/>
      </c>
    </row>
    <row r="450">
      <c r="B450" s="45" t="n"/>
      <c r="C450" s="46" t="n"/>
      <c r="D450" s="47" t="n"/>
      <c r="M450" s="48" t="n"/>
      <c r="O450">
        <f>IF(OR(B450="",D450="",E450=""),"",TEXT(B450,"yyyymmdd")&amp;"|"&amp;TEXT(D450,"0.00")&amp;"|"&amp;LOWER(E450)&amp;"|"&amp;K450)</f>
        <v/>
      </c>
    </row>
    <row r="451">
      <c r="B451" s="45" t="n"/>
      <c r="C451" s="46" t="n"/>
      <c r="D451" s="47" t="n"/>
      <c r="M451" s="48" t="n"/>
      <c r="O451">
        <f>IF(OR(B451="",D451="",E451=""),"",TEXT(B451,"yyyymmdd")&amp;"|"&amp;TEXT(D451,"0.00")&amp;"|"&amp;LOWER(E451)&amp;"|"&amp;K451)</f>
        <v/>
      </c>
    </row>
    <row r="452">
      <c r="B452" s="45" t="n"/>
      <c r="C452" s="46" t="n"/>
      <c r="D452" s="47" t="n"/>
      <c r="M452" s="48" t="n"/>
      <c r="O452">
        <f>IF(OR(B452="",D452="",E452=""),"",TEXT(B452,"yyyymmdd")&amp;"|"&amp;TEXT(D452,"0.00")&amp;"|"&amp;LOWER(E452)&amp;"|"&amp;K452)</f>
        <v/>
      </c>
    </row>
    <row r="453">
      <c r="B453" s="45" t="n"/>
      <c r="C453" s="46" t="n"/>
      <c r="D453" s="47" t="n"/>
      <c r="M453" s="48" t="n"/>
      <c r="O453">
        <f>IF(OR(B453="",D453="",E453=""),"",TEXT(B453,"yyyymmdd")&amp;"|"&amp;TEXT(D453,"0.00")&amp;"|"&amp;LOWER(E453)&amp;"|"&amp;K453)</f>
        <v/>
      </c>
    </row>
    <row r="454">
      <c r="B454" s="45" t="n"/>
      <c r="C454" s="46" t="n"/>
      <c r="D454" s="47" t="n"/>
      <c r="M454" s="48" t="n"/>
      <c r="O454">
        <f>IF(OR(B454="",D454="",E454=""),"",TEXT(B454,"yyyymmdd")&amp;"|"&amp;TEXT(D454,"0.00")&amp;"|"&amp;LOWER(E454)&amp;"|"&amp;K454)</f>
        <v/>
      </c>
    </row>
    <row r="455">
      <c r="B455" s="45" t="n"/>
      <c r="C455" s="46" t="n"/>
      <c r="D455" s="47" t="n"/>
      <c r="M455" s="48" t="n"/>
      <c r="O455">
        <f>IF(OR(B455="",D455="",E455=""),"",TEXT(B455,"yyyymmdd")&amp;"|"&amp;TEXT(D455,"0.00")&amp;"|"&amp;LOWER(E455)&amp;"|"&amp;K455)</f>
        <v/>
      </c>
    </row>
    <row r="456">
      <c r="B456" s="45" t="n"/>
      <c r="C456" s="46" t="n"/>
      <c r="D456" s="47" t="n"/>
      <c r="M456" s="48" t="n"/>
      <c r="O456">
        <f>IF(OR(B456="",D456="",E456=""),"",TEXT(B456,"yyyymmdd")&amp;"|"&amp;TEXT(D456,"0.00")&amp;"|"&amp;LOWER(E456)&amp;"|"&amp;K456)</f>
        <v/>
      </c>
    </row>
    <row r="457">
      <c r="B457" s="45" t="n"/>
      <c r="C457" s="46" t="n"/>
      <c r="D457" s="47" t="n"/>
      <c r="M457" s="48" t="n"/>
      <c r="O457">
        <f>IF(OR(B457="",D457="",E457=""),"",TEXT(B457,"yyyymmdd")&amp;"|"&amp;TEXT(D457,"0.00")&amp;"|"&amp;LOWER(E457)&amp;"|"&amp;K457)</f>
        <v/>
      </c>
    </row>
    <row r="458">
      <c r="B458" s="45" t="n"/>
      <c r="C458" s="46" t="n"/>
      <c r="D458" s="47" t="n"/>
      <c r="M458" s="48" t="n"/>
      <c r="O458">
        <f>IF(OR(B458="",D458="",E458=""),"",TEXT(B458,"yyyymmdd")&amp;"|"&amp;TEXT(D458,"0.00")&amp;"|"&amp;LOWER(E458)&amp;"|"&amp;K458)</f>
        <v/>
      </c>
    </row>
    <row r="459">
      <c r="B459" s="45" t="n"/>
      <c r="C459" s="46" t="n"/>
      <c r="D459" s="47" t="n"/>
      <c r="M459" s="48" t="n"/>
      <c r="O459">
        <f>IF(OR(B459="",D459="",E459=""),"",TEXT(B459,"yyyymmdd")&amp;"|"&amp;TEXT(D459,"0.00")&amp;"|"&amp;LOWER(E459)&amp;"|"&amp;K459)</f>
        <v/>
      </c>
    </row>
    <row r="460">
      <c r="B460" s="45" t="n"/>
      <c r="C460" s="46" t="n"/>
      <c r="D460" s="47" t="n"/>
      <c r="M460" s="48" t="n"/>
      <c r="O460">
        <f>IF(OR(B460="",D460="",E460=""),"",TEXT(B460,"yyyymmdd")&amp;"|"&amp;TEXT(D460,"0.00")&amp;"|"&amp;LOWER(E460)&amp;"|"&amp;K460)</f>
        <v/>
      </c>
    </row>
    <row r="461">
      <c r="B461" s="45" t="n"/>
      <c r="C461" s="46" t="n"/>
      <c r="D461" s="47" t="n"/>
      <c r="M461" s="48" t="n"/>
      <c r="O461">
        <f>IF(OR(B461="",D461="",E461=""),"",TEXT(B461,"yyyymmdd")&amp;"|"&amp;TEXT(D461,"0.00")&amp;"|"&amp;LOWER(E461)&amp;"|"&amp;K461)</f>
        <v/>
      </c>
    </row>
    <row r="462">
      <c r="B462" s="45" t="n"/>
      <c r="C462" s="46" t="n"/>
      <c r="D462" s="47" t="n"/>
      <c r="M462" s="48" t="n"/>
      <c r="O462">
        <f>IF(OR(B462="",D462="",E462=""),"",TEXT(B462,"yyyymmdd")&amp;"|"&amp;TEXT(D462,"0.00")&amp;"|"&amp;LOWER(E462)&amp;"|"&amp;K462)</f>
        <v/>
      </c>
    </row>
    <row r="463">
      <c r="B463" s="45" t="n"/>
      <c r="C463" s="46" t="n"/>
      <c r="D463" s="47" t="n"/>
      <c r="M463" s="48" t="n"/>
      <c r="O463">
        <f>IF(OR(B463="",D463="",E463=""),"",TEXT(B463,"yyyymmdd")&amp;"|"&amp;TEXT(D463,"0.00")&amp;"|"&amp;LOWER(E463)&amp;"|"&amp;K463)</f>
        <v/>
      </c>
    </row>
    <row r="464">
      <c r="B464" s="45" t="n"/>
      <c r="C464" s="46" t="n"/>
      <c r="D464" s="47" t="n"/>
      <c r="M464" s="48" t="n"/>
      <c r="O464">
        <f>IF(OR(B464="",D464="",E464=""),"",TEXT(B464,"yyyymmdd")&amp;"|"&amp;TEXT(D464,"0.00")&amp;"|"&amp;LOWER(E464)&amp;"|"&amp;K464)</f>
        <v/>
      </c>
    </row>
    <row r="465">
      <c r="B465" s="45" t="n"/>
      <c r="C465" s="46" t="n"/>
      <c r="D465" s="47" t="n"/>
      <c r="M465" s="48" t="n"/>
      <c r="O465">
        <f>IF(OR(B465="",D465="",E465=""),"",TEXT(B465,"yyyymmdd")&amp;"|"&amp;TEXT(D465,"0.00")&amp;"|"&amp;LOWER(E465)&amp;"|"&amp;K465)</f>
        <v/>
      </c>
    </row>
    <row r="466">
      <c r="B466" s="45" t="n"/>
      <c r="C466" s="46" t="n"/>
      <c r="D466" s="47" t="n"/>
      <c r="M466" s="48" t="n"/>
      <c r="O466">
        <f>IF(OR(B466="",D466="",E466=""),"",TEXT(B466,"yyyymmdd")&amp;"|"&amp;TEXT(D466,"0.00")&amp;"|"&amp;LOWER(E466)&amp;"|"&amp;K466)</f>
        <v/>
      </c>
    </row>
    <row r="467">
      <c r="B467" s="45" t="n"/>
      <c r="C467" s="46" t="n"/>
      <c r="D467" s="47" t="n"/>
      <c r="M467" s="48" t="n"/>
      <c r="O467">
        <f>IF(OR(B467="",D467="",E467=""),"",TEXT(B467,"yyyymmdd")&amp;"|"&amp;TEXT(D467,"0.00")&amp;"|"&amp;LOWER(E467)&amp;"|"&amp;K467)</f>
        <v/>
      </c>
    </row>
    <row r="468">
      <c r="B468" s="45" t="n"/>
      <c r="C468" s="46" t="n"/>
      <c r="D468" s="47" t="n"/>
      <c r="M468" s="48" t="n"/>
      <c r="O468">
        <f>IF(OR(B468="",D468="",E468=""),"",TEXT(B468,"yyyymmdd")&amp;"|"&amp;TEXT(D468,"0.00")&amp;"|"&amp;LOWER(E468)&amp;"|"&amp;K468)</f>
        <v/>
      </c>
    </row>
    <row r="469">
      <c r="B469" s="45" t="n"/>
      <c r="C469" s="46" t="n"/>
      <c r="D469" s="47" t="n"/>
      <c r="M469" s="48" t="n"/>
      <c r="O469">
        <f>IF(OR(B469="",D469="",E469=""),"",TEXT(B469,"yyyymmdd")&amp;"|"&amp;TEXT(D469,"0.00")&amp;"|"&amp;LOWER(E469)&amp;"|"&amp;K469)</f>
        <v/>
      </c>
    </row>
    <row r="470">
      <c r="B470" s="45" t="n"/>
      <c r="C470" s="46" t="n"/>
      <c r="D470" s="47" t="n"/>
      <c r="M470" s="48" t="n"/>
      <c r="O470">
        <f>IF(OR(B470="",D470="",E470=""),"",TEXT(B470,"yyyymmdd")&amp;"|"&amp;TEXT(D470,"0.00")&amp;"|"&amp;LOWER(E470)&amp;"|"&amp;K470)</f>
        <v/>
      </c>
    </row>
    <row r="471">
      <c r="B471" s="45" t="n"/>
      <c r="C471" s="46" t="n"/>
      <c r="D471" s="47" t="n"/>
      <c r="M471" s="48" t="n"/>
      <c r="O471">
        <f>IF(OR(B471="",D471="",E471=""),"",TEXT(B471,"yyyymmdd")&amp;"|"&amp;TEXT(D471,"0.00")&amp;"|"&amp;LOWER(E471)&amp;"|"&amp;K471)</f>
        <v/>
      </c>
    </row>
    <row r="472">
      <c r="B472" s="45" t="n"/>
      <c r="C472" s="46" t="n"/>
      <c r="D472" s="47" t="n"/>
      <c r="M472" s="48" t="n"/>
      <c r="O472">
        <f>IF(OR(B472="",D472="",E472=""),"",TEXT(B472,"yyyymmdd")&amp;"|"&amp;TEXT(D472,"0.00")&amp;"|"&amp;LOWER(E472)&amp;"|"&amp;K472)</f>
        <v/>
      </c>
    </row>
    <row r="473">
      <c r="B473" s="45" t="n"/>
      <c r="C473" s="46" t="n"/>
      <c r="D473" s="47" t="n"/>
      <c r="M473" s="48" t="n"/>
      <c r="O473">
        <f>IF(OR(B473="",D473="",E473=""),"",TEXT(B473,"yyyymmdd")&amp;"|"&amp;TEXT(D473,"0.00")&amp;"|"&amp;LOWER(E473)&amp;"|"&amp;K473)</f>
        <v/>
      </c>
    </row>
    <row r="474">
      <c r="B474" s="45" t="n"/>
      <c r="C474" s="46" t="n"/>
      <c r="D474" s="47" t="n"/>
      <c r="M474" s="48" t="n"/>
      <c r="O474">
        <f>IF(OR(B474="",D474="",E474=""),"",TEXT(B474,"yyyymmdd")&amp;"|"&amp;TEXT(D474,"0.00")&amp;"|"&amp;LOWER(E474)&amp;"|"&amp;K474)</f>
        <v/>
      </c>
    </row>
    <row r="475">
      <c r="B475" s="45" t="n"/>
      <c r="C475" s="46" t="n"/>
      <c r="D475" s="47" t="n"/>
      <c r="M475" s="48" t="n"/>
      <c r="O475">
        <f>IF(OR(B475="",D475="",E475=""),"",TEXT(B475,"yyyymmdd")&amp;"|"&amp;TEXT(D475,"0.00")&amp;"|"&amp;LOWER(E475)&amp;"|"&amp;K475)</f>
        <v/>
      </c>
    </row>
    <row r="476">
      <c r="B476" s="45" t="n"/>
      <c r="C476" s="46" t="n"/>
      <c r="D476" s="47" t="n"/>
      <c r="M476" s="48" t="n"/>
      <c r="O476">
        <f>IF(OR(B476="",D476="",E476=""),"",TEXT(B476,"yyyymmdd")&amp;"|"&amp;TEXT(D476,"0.00")&amp;"|"&amp;LOWER(E476)&amp;"|"&amp;K476)</f>
        <v/>
      </c>
    </row>
    <row r="477">
      <c r="B477" s="45" t="n"/>
      <c r="C477" s="46" t="n"/>
      <c r="D477" s="47" t="n"/>
      <c r="M477" s="48" t="n"/>
      <c r="O477">
        <f>IF(OR(B477="",D477="",E477=""),"",TEXT(B477,"yyyymmdd")&amp;"|"&amp;TEXT(D477,"0.00")&amp;"|"&amp;LOWER(E477)&amp;"|"&amp;K477)</f>
        <v/>
      </c>
    </row>
    <row r="478">
      <c r="B478" s="45" t="n"/>
      <c r="C478" s="46" t="n"/>
      <c r="D478" s="47" t="n"/>
      <c r="M478" s="48" t="n"/>
      <c r="O478">
        <f>IF(OR(B478="",D478="",E478=""),"",TEXT(B478,"yyyymmdd")&amp;"|"&amp;TEXT(D478,"0.00")&amp;"|"&amp;LOWER(E478)&amp;"|"&amp;K478)</f>
        <v/>
      </c>
    </row>
    <row r="479">
      <c r="B479" s="45" t="n"/>
      <c r="C479" s="46" t="n"/>
      <c r="D479" s="47" t="n"/>
      <c r="M479" s="48" t="n"/>
      <c r="O479">
        <f>IF(OR(B479="",D479="",E479=""),"",TEXT(B479,"yyyymmdd")&amp;"|"&amp;TEXT(D479,"0.00")&amp;"|"&amp;LOWER(E479)&amp;"|"&amp;K479)</f>
        <v/>
      </c>
    </row>
    <row r="480">
      <c r="B480" s="45" t="n"/>
      <c r="C480" s="46" t="n"/>
      <c r="D480" s="47" t="n"/>
      <c r="M480" s="48" t="n"/>
      <c r="O480">
        <f>IF(OR(B480="",D480="",E480=""),"",TEXT(B480,"yyyymmdd")&amp;"|"&amp;TEXT(D480,"0.00")&amp;"|"&amp;LOWER(E480)&amp;"|"&amp;K480)</f>
        <v/>
      </c>
    </row>
    <row r="481">
      <c r="B481" s="45" t="n"/>
      <c r="C481" s="46" t="n"/>
      <c r="D481" s="47" t="n"/>
      <c r="M481" s="48" t="n"/>
      <c r="O481">
        <f>IF(OR(B481="",D481="",E481=""),"",TEXT(B481,"yyyymmdd")&amp;"|"&amp;TEXT(D481,"0.00")&amp;"|"&amp;LOWER(E481)&amp;"|"&amp;K481)</f>
        <v/>
      </c>
    </row>
    <row r="482">
      <c r="B482" s="45" t="n"/>
      <c r="C482" s="46" t="n"/>
      <c r="D482" s="47" t="n"/>
      <c r="M482" s="48" t="n"/>
      <c r="O482">
        <f>IF(OR(B482="",D482="",E482=""),"",TEXT(B482,"yyyymmdd")&amp;"|"&amp;TEXT(D482,"0.00")&amp;"|"&amp;LOWER(E482)&amp;"|"&amp;K482)</f>
        <v/>
      </c>
    </row>
    <row r="483">
      <c r="B483" s="45" t="n"/>
      <c r="C483" s="46" t="n"/>
      <c r="D483" s="47" t="n"/>
      <c r="M483" s="48" t="n"/>
      <c r="O483">
        <f>IF(OR(B483="",D483="",E483=""),"",TEXT(B483,"yyyymmdd")&amp;"|"&amp;TEXT(D483,"0.00")&amp;"|"&amp;LOWER(E483)&amp;"|"&amp;K483)</f>
        <v/>
      </c>
    </row>
    <row r="484">
      <c r="B484" s="45" t="n"/>
      <c r="C484" s="46" t="n"/>
      <c r="D484" s="47" t="n"/>
      <c r="M484" s="48" t="n"/>
      <c r="O484">
        <f>IF(OR(B484="",D484="",E484=""),"",TEXT(B484,"yyyymmdd")&amp;"|"&amp;TEXT(D484,"0.00")&amp;"|"&amp;LOWER(E484)&amp;"|"&amp;K484)</f>
        <v/>
      </c>
    </row>
    <row r="485">
      <c r="B485" s="45" t="n"/>
      <c r="C485" s="46" t="n"/>
      <c r="D485" s="47" t="n"/>
      <c r="M485" s="48" t="n"/>
      <c r="O485">
        <f>IF(OR(B485="",D485="",E485=""),"",TEXT(B485,"yyyymmdd")&amp;"|"&amp;TEXT(D485,"0.00")&amp;"|"&amp;LOWER(E485)&amp;"|"&amp;K485)</f>
        <v/>
      </c>
    </row>
    <row r="486">
      <c r="B486" s="45" t="n"/>
      <c r="C486" s="46" t="n"/>
      <c r="D486" s="47" t="n"/>
      <c r="M486" s="48" t="n"/>
      <c r="O486">
        <f>IF(OR(B486="",D486="",E486=""),"",TEXT(B486,"yyyymmdd")&amp;"|"&amp;TEXT(D486,"0.00")&amp;"|"&amp;LOWER(E486)&amp;"|"&amp;K486)</f>
        <v/>
      </c>
    </row>
    <row r="487">
      <c r="B487" s="45" t="n"/>
      <c r="C487" s="46" t="n"/>
      <c r="D487" s="47" t="n"/>
      <c r="M487" s="48" t="n"/>
      <c r="O487">
        <f>IF(OR(B487="",D487="",E487=""),"",TEXT(B487,"yyyymmdd")&amp;"|"&amp;TEXT(D487,"0.00")&amp;"|"&amp;LOWER(E487)&amp;"|"&amp;K487)</f>
        <v/>
      </c>
    </row>
    <row r="488">
      <c r="B488" s="45" t="n"/>
      <c r="C488" s="46" t="n"/>
      <c r="D488" s="47" t="n"/>
      <c r="M488" s="48" t="n"/>
      <c r="O488">
        <f>IF(OR(B488="",D488="",E488=""),"",TEXT(B488,"yyyymmdd")&amp;"|"&amp;TEXT(D488,"0.00")&amp;"|"&amp;LOWER(E488)&amp;"|"&amp;K488)</f>
        <v/>
      </c>
    </row>
    <row r="489">
      <c r="B489" s="45" t="n"/>
      <c r="C489" s="46" t="n"/>
      <c r="D489" s="47" t="n"/>
      <c r="M489" s="48" t="n"/>
      <c r="O489">
        <f>IF(OR(B489="",D489="",E489=""),"",TEXT(B489,"yyyymmdd")&amp;"|"&amp;TEXT(D489,"0.00")&amp;"|"&amp;LOWER(E489)&amp;"|"&amp;K489)</f>
        <v/>
      </c>
    </row>
    <row r="490">
      <c r="B490" s="45" t="n"/>
      <c r="C490" s="46" t="n"/>
      <c r="D490" s="47" t="n"/>
      <c r="M490" s="48" t="n"/>
      <c r="O490">
        <f>IF(OR(B490="",D490="",E490=""),"",TEXT(B490,"yyyymmdd")&amp;"|"&amp;TEXT(D490,"0.00")&amp;"|"&amp;LOWER(E490)&amp;"|"&amp;K490)</f>
        <v/>
      </c>
    </row>
    <row r="491">
      <c r="B491" s="45" t="n"/>
      <c r="C491" s="46" t="n"/>
      <c r="D491" s="47" t="n"/>
      <c r="M491" s="48" t="n"/>
      <c r="O491">
        <f>IF(OR(B491="",D491="",E491=""),"",TEXT(B491,"yyyymmdd")&amp;"|"&amp;TEXT(D491,"0.00")&amp;"|"&amp;LOWER(E491)&amp;"|"&amp;K491)</f>
        <v/>
      </c>
    </row>
    <row r="492">
      <c r="B492" s="45" t="n"/>
      <c r="C492" s="46" t="n"/>
      <c r="D492" s="47" t="n"/>
      <c r="M492" s="48" t="n"/>
      <c r="O492">
        <f>IF(OR(B492="",D492="",E492=""),"",TEXT(B492,"yyyymmdd")&amp;"|"&amp;TEXT(D492,"0.00")&amp;"|"&amp;LOWER(E492)&amp;"|"&amp;K492)</f>
        <v/>
      </c>
    </row>
    <row r="493">
      <c r="B493" s="45" t="n"/>
      <c r="C493" s="46" t="n"/>
      <c r="D493" s="47" t="n"/>
      <c r="M493" s="48" t="n"/>
      <c r="O493">
        <f>IF(OR(B493="",D493="",E493=""),"",TEXT(B493,"yyyymmdd")&amp;"|"&amp;TEXT(D493,"0.00")&amp;"|"&amp;LOWER(E493)&amp;"|"&amp;K493)</f>
        <v/>
      </c>
    </row>
    <row r="494">
      <c r="B494" s="45" t="n"/>
      <c r="C494" s="46" t="n"/>
      <c r="D494" s="47" t="n"/>
      <c r="M494" s="48" t="n"/>
      <c r="O494">
        <f>IF(OR(B494="",D494="",E494=""),"",TEXT(B494,"yyyymmdd")&amp;"|"&amp;TEXT(D494,"0.00")&amp;"|"&amp;LOWER(E494)&amp;"|"&amp;K494)</f>
        <v/>
      </c>
    </row>
    <row r="495">
      <c r="B495" s="45" t="n"/>
      <c r="C495" s="46" t="n"/>
      <c r="D495" s="47" t="n"/>
      <c r="M495" s="48" t="n"/>
      <c r="O495">
        <f>IF(OR(B495="",D495="",E495=""),"",TEXT(B495,"yyyymmdd")&amp;"|"&amp;TEXT(D495,"0.00")&amp;"|"&amp;LOWER(E495)&amp;"|"&amp;K495)</f>
        <v/>
      </c>
    </row>
    <row r="496">
      <c r="B496" s="45" t="n"/>
      <c r="C496" s="46" t="n"/>
      <c r="D496" s="47" t="n"/>
      <c r="M496" s="48" t="n"/>
      <c r="O496">
        <f>IF(OR(B496="",D496="",E496=""),"",TEXT(B496,"yyyymmdd")&amp;"|"&amp;TEXT(D496,"0.00")&amp;"|"&amp;LOWER(E496)&amp;"|"&amp;K496)</f>
        <v/>
      </c>
    </row>
    <row r="497">
      <c r="B497" s="45" t="n"/>
      <c r="C497" s="46" t="n"/>
      <c r="D497" s="47" t="n"/>
      <c r="M497" s="48" t="n"/>
      <c r="O497">
        <f>IF(OR(B497="",D497="",E497=""),"",TEXT(B497,"yyyymmdd")&amp;"|"&amp;TEXT(D497,"0.00")&amp;"|"&amp;LOWER(E497)&amp;"|"&amp;K497)</f>
        <v/>
      </c>
    </row>
    <row r="498">
      <c r="B498" s="45" t="n"/>
      <c r="C498" s="46" t="n"/>
      <c r="D498" s="47" t="n"/>
      <c r="M498" s="48" t="n"/>
      <c r="O498">
        <f>IF(OR(B498="",D498="",E498=""),"",TEXT(B498,"yyyymmdd")&amp;"|"&amp;TEXT(D498,"0.00")&amp;"|"&amp;LOWER(E498)&amp;"|"&amp;K498)</f>
        <v/>
      </c>
    </row>
    <row r="499">
      <c r="B499" s="45" t="n"/>
      <c r="C499" s="46" t="n"/>
      <c r="D499" s="47" t="n"/>
      <c r="M499" s="48" t="n"/>
      <c r="O499">
        <f>IF(OR(B499="",D499="",E499=""),"",TEXT(B499,"yyyymmdd")&amp;"|"&amp;TEXT(D499,"0.00")&amp;"|"&amp;LOWER(E499)&amp;"|"&amp;K499)</f>
        <v/>
      </c>
    </row>
    <row r="500">
      <c r="B500" s="45" t="n"/>
      <c r="C500" s="46" t="n"/>
      <c r="D500" s="47" t="n"/>
      <c r="M500" s="48" t="n"/>
      <c r="O500">
        <f>IF(OR(B500="",D500="",E500=""),"",TEXT(B500,"yyyymmdd")&amp;"|"&amp;TEXT(D500,"0.00")&amp;"|"&amp;LOWER(E500)&amp;"|"&amp;K500)</f>
        <v/>
      </c>
    </row>
    <row r="501">
      <c r="B501" s="45" t="n"/>
      <c r="C501" s="46" t="n"/>
      <c r="D501" s="47" t="n"/>
      <c r="M501" s="48" t="n"/>
      <c r="O501">
        <f>IF(OR(B501="",D501="",E501=""),"",TEXT(B501,"yyyymmdd")&amp;"|"&amp;TEXT(D501,"0.00")&amp;"|"&amp;LOWER(E501)&amp;"|"&amp;K501)</f>
        <v/>
      </c>
    </row>
  </sheetData>
  <conditionalFormatting sqref="N2:N501">
    <cfRule type="expression" priority="1" dxfId="0">
      <formula>N2="Needs Review"</formula>
    </cfRule>
    <cfRule type="expression" priority="2" dxfId="1">
      <formula>N2="Possible Duplicate"</formula>
    </cfRule>
    <cfRule type="expression" priority="3" dxfId="2">
      <formula>N2="Approved"</formula>
    </cfRule>
  </conditionalFormatting>
  <dataValidations count="4">
    <dataValidation sqref="F2:F501" showDropDown="0" showInputMessage="0" showErrorMessage="0" allowBlank="0" type="list">
      <formula1>Setup!$A$2:$A$6</formula1>
    </dataValidation>
    <dataValidation sqref="G2:G501" showDropDown="0" showInputMessage="0" showErrorMessage="0" allowBlank="0" type="list">
      <formula1>Setup!$B$2:$B$14</formula1>
    </dataValidation>
    <dataValidation sqref="I2:I501" showDropDown="0" showInputMessage="0" showErrorMessage="0" allowBlank="0" type="list">
      <formula1>Setup!$C$2:$C$7</formula1>
    </dataValidation>
    <dataValidation sqref="N2:N501" showDropDown="0" showInputMessage="0" showErrorMessage="0" allowBlank="0" type="list">
      <formula1>Setup!$D$2:$D$5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8" customHeight="1">
      <c r="A1" s="34" t="inlineStr">
        <is>
          <t>Date</t>
        </is>
      </c>
      <c r="B1" s="34" t="inlineStr">
        <is>
          <t>No. of Payments</t>
        </is>
      </c>
      <c r="C1" s="34" t="inlineStr">
        <is>
          <t>Total Paid (₹)</t>
        </is>
      </c>
      <c r="D1" s="35" t="n"/>
      <c r="E1" s="35" t="n"/>
      <c r="F1" s="35" t="n"/>
      <c r="G1" s="35" t="n"/>
      <c r="H1" s="35" t="n"/>
      <c r="I1" s="35" t="n"/>
      <c r="J1" s="35" t="n"/>
      <c r="K1" s="35" t="n"/>
    </row>
    <row r="2">
      <c r="A2" s="45" t="n">
        <v>46266</v>
      </c>
      <c r="B2">
        <f>COUNTIFS('All Payments'!$B$2:$B$501,A2,'All Payments'!$N$2:$N$501,"Approved")</f>
        <v/>
      </c>
      <c r="C2" s="47">
        <f>SUMIFS('All Payments'!$D$2:$D$501,'All Payments'!$B$2:$B$501,A2,'All Payments'!$N$2:$N$501,"Approved")</f>
        <v/>
      </c>
    </row>
    <row r="3">
      <c r="A3" s="45">
        <f>A2+1</f>
        <v/>
      </c>
      <c r="B3">
        <f>COUNTIFS('All Payments'!$B$2:$B$501,A3,'All Payments'!$N$2:$N$501,"Approved")</f>
        <v/>
      </c>
      <c r="C3" s="47">
        <f>SUMIFS('All Payments'!$D$2:$D$501,'All Payments'!$B$2:$B$501,A3,'All Payments'!$N$2:$N$501,"Approved")</f>
        <v/>
      </c>
    </row>
    <row r="4">
      <c r="A4" s="45">
        <f>A3+1</f>
        <v/>
      </c>
      <c r="B4">
        <f>COUNTIFS('All Payments'!$B$2:$B$501,A4,'All Payments'!$N$2:$N$501,"Approved")</f>
        <v/>
      </c>
      <c r="C4" s="47">
        <f>SUMIFS('All Payments'!$D$2:$D$501,'All Payments'!$B$2:$B$501,A4,'All Payments'!$N$2:$N$501,"Approved")</f>
        <v/>
      </c>
    </row>
    <row r="5">
      <c r="A5" s="45">
        <f>A4+1</f>
        <v/>
      </c>
      <c r="B5">
        <f>COUNTIFS('All Payments'!$B$2:$B$501,A5,'All Payments'!$N$2:$N$501,"Approved")</f>
        <v/>
      </c>
      <c r="C5" s="47">
        <f>SUMIFS('All Payments'!$D$2:$D$501,'All Payments'!$B$2:$B$501,A5,'All Payments'!$N$2:$N$501,"Approved")</f>
        <v/>
      </c>
    </row>
    <row r="6">
      <c r="A6" s="45">
        <f>A5+1</f>
        <v/>
      </c>
      <c r="B6">
        <f>COUNTIFS('All Payments'!$B$2:$B$501,A6,'All Payments'!$N$2:$N$501,"Approved")</f>
        <v/>
      </c>
      <c r="C6" s="47">
        <f>SUMIFS('All Payments'!$D$2:$D$501,'All Payments'!$B$2:$B$501,A6,'All Payments'!$N$2:$N$501,"Approved")</f>
        <v/>
      </c>
    </row>
    <row r="7">
      <c r="A7" s="45">
        <f>A6+1</f>
        <v/>
      </c>
      <c r="B7">
        <f>COUNTIFS('All Payments'!$B$2:$B$501,A7,'All Payments'!$N$2:$N$501,"Approved")</f>
        <v/>
      </c>
      <c r="C7" s="47">
        <f>SUMIFS('All Payments'!$D$2:$D$501,'All Payments'!$B$2:$B$501,A7,'All Payments'!$N$2:$N$501,"Approved")</f>
        <v/>
      </c>
    </row>
    <row r="8">
      <c r="A8" s="45">
        <f>A7+1</f>
        <v/>
      </c>
      <c r="B8">
        <f>COUNTIFS('All Payments'!$B$2:$B$501,A8,'All Payments'!$N$2:$N$501,"Approved")</f>
        <v/>
      </c>
      <c r="C8" s="47">
        <f>SUMIFS('All Payments'!$D$2:$D$501,'All Payments'!$B$2:$B$501,A8,'All Payments'!$N$2:$N$501,"Approved")</f>
        <v/>
      </c>
    </row>
    <row r="9">
      <c r="A9" s="45">
        <f>A8+1</f>
        <v/>
      </c>
      <c r="B9">
        <f>COUNTIFS('All Payments'!$B$2:$B$501,A9,'All Payments'!$N$2:$N$501,"Approved")</f>
        <v/>
      </c>
      <c r="C9" s="47">
        <f>SUMIFS('All Payments'!$D$2:$D$501,'All Payments'!$B$2:$B$501,A9,'All Payments'!$N$2:$N$501,"Approved")</f>
        <v/>
      </c>
    </row>
    <row r="10">
      <c r="A10" s="45">
        <f>A9+1</f>
        <v/>
      </c>
      <c r="B10">
        <f>COUNTIFS('All Payments'!$B$2:$B$501,A10,'All Payments'!$N$2:$N$501,"Approved")</f>
        <v/>
      </c>
      <c r="C10" s="47">
        <f>SUMIFS('All Payments'!$D$2:$D$501,'All Payments'!$B$2:$B$501,A10,'All Payments'!$N$2:$N$501,"Approved")</f>
        <v/>
      </c>
    </row>
    <row r="11">
      <c r="A11" s="45">
        <f>A10+1</f>
        <v/>
      </c>
      <c r="B11">
        <f>COUNTIFS('All Payments'!$B$2:$B$501,A11,'All Payments'!$N$2:$N$501,"Approved")</f>
        <v/>
      </c>
      <c r="C11" s="47">
        <f>SUMIFS('All Payments'!$D$2:$D$501,'All Payments'!$B$2:$B$501,A11,'All Payments'!$N$2:$N$501,"Approved")</f>
        <v/>
      </c>
    </row>
    <row r="12">
      <c r="A12" s="45">
        <f>A11+1</f>
        <v/>
      </c>
      <c r="B12">
        <f>COUNTIFS('All Payments'!$B$2:$B$501,A12,'All Payments'!$N$2:$N$501,"Approved")</f>
        <v/>
      </c>
      <c r="C12" s="47">
        <f>SUMIFS('All Payments'!$D$2:$D$501,'All Payments'!$B$2:$B$501,A12,'All Payments'!$N$2:$N$501,"Approved")</f>
        <v/>
      </c>
    </row>
    <row r="13">
      <c r="A13" s="45">
        <f>A12+1</f>
        <v/>
      </c>
      <c r="B13">
        <f>COUNTIFS('All Payments'!$B$2:$B$501,A13,'All Payments'!$N$2:$N$501,"Approved")</f>
        <v/>
      </c>
      <c r="C13" s="47">
        <f>SUMIFS('All Payments'!$D$2:$D$501,'All Payments'!$B$2:$B$501,A13,'All Payments'!$N$2:$N$501,"Approved")</f>
        <v/>
      </c>
    </row>
    <row r="14">
      <c r="A14" s="45">
        <f>A13+1</f>
        <v/>
      </c>
      <c r="B14">
        <f>COUNTIFS('All Payments'!$B$2:$B$501,A14,'All Payments'!$N$2:$N$501,"Approved")</f>
        <v/>
      </c>
      <c r="C14" s="47">
        <f>SUMIFS('All Payments'!$D$2:$D$501,'All Payments'!$B$2:$B$501,A14,'All Payments'!$N$2:$N$501,"Approved")</f>
        <v/>
      </c>
    </row>
    <row r="15">
      <c r="A15" s="45">
        <f>A14+1</f>
        <v/>
      </c>
      <c r="B15">
        <f>COUNTIFS('All Payments'!$B$2:$B$501,A15,'All Payments'!$N$2:$N$501,"Approved")</f>
        <v/>
      </c>
      <c r="C15" s="47">
        <f>SUMIFS('All Payments'!$D$2:$D$501,'All Payments'!$B$2:$B$501,A15,'All Payments'!$N$2:$N$501,"Approved")</f>
        <v/>
      </c>
    </row>
    <row r="16">
      <c r="A16" s="45">
        <f>A15+1</f>
        <v/>
      </c>
      <c r="B16">
        <f>COUNTIFS('All Payments'!$B$2:$B$501,A16,'All Payments'!$N$2:$N$501,"Approved")</f>
        <v/>
      </c>
      <c r="C16" s="47">
        <f>SUMIFS('All Payments'!$D$2:$D$501,'All Payments'!$B$2:$B$501,A16,'All Payments'!$N$2:$N$501,"Approved")</f>
        <v/>
      </c>
    </row>
    <row r="17">
      <c r="A17" s="45">
        <f>A16+1</f>
        <v/>
      </c>
      <c r="B17">
        <f>COUNTIFS('All Payments'!$B$2:$B$501,A17,'All Payments'!$N$2:$N$501,"Approved")</f>
        <v/>
      </c>
      <c r="C17" s="47">
        <f>SUMIFS('All Payments'!$D$2:$D$501,'All Payments'!$B$2:$B$501,A17,'All Payments'!$N$2:$N$501,"Approved")</f>
        <v/>
      </c>
    </row>
    <row r="18">
      <c r="A18" s="45">
        <f>A17+1</f>
        <v/>
      </c>
      <c r="B18">
        <f>COUNTIFS('All Payments'!$B$2:$B$501,A18,'All Payments'!$N$2:$N$501,"Approved")</f>
        <v/>
      </c>
      <c r="C18" s="47">
        <f>SUMIFS('All Payments'!$D$2:$D$501,'All Payments'!$B$2:$B$501,A18,'All Payments'!$N$2:$N$501,"Approved")</f>
        <v/>
      </c>
    </row>
    <row r="19">
      <c r="A19" s="45">
        <f>A18+1</f>
        <v/>
      </c>
      <c r="B19">
        <f>COUNTIFS('All Payments'!$B$2:$B$501,A19,'All Payments'!$N$2:$N$501,"Approved")</f>
        <v/>
      </c>
      <c r="C19" s="47">
        <f>SUMIFS('All Payments'!$D$2:$D$501,'All Payments'!$B$2:$B$501,A19,'All Payments'!$N$2:$N$501,"Approved")</f>
        <v/>
      </c>
    </row>
    <row r="20">
      <c r="A20" s="45">
        <f>A19+1</f>
        <v/>
      </c>
      <c r="B20">
        <f>COUNTIFS('All Payments'!$B$2:$B$501,A20,'All Payments'!$N$2:$N$501,"Approved")</f>
        <v/>
      </c>
      <c r="C20" s="47">
        <f>SUMIFS('All Payments'!$D$2:$D$501,'All Payments'!$B$2:$B$501,A20,'All Payments'!$N$2:$N$501,"Approved")</f>
        <v/>
      </c>
    </row>
    <row r="21">
      <c r="A21" s="45">
        <f>A20+1</f>
        <v/>
      </c>
      <c r="B21">
        <f>COUNTIFS('All Payments'!$B$2:$B$501,A21,'All Payments'!$N$2:$N$501,"Approved")</f>
        <v/>
      </c>
      <c r="C21" s="47">
        <f>SUMIFS('All Payments'!$D$2:$D$501,'All Payments'!$B$2:$B$501,A21,'All Payments'!$N$2:$N$501,"Approved")</f>
        <v/>
      </c>
    </row>
    <row r="22">
      <c r="A22" s="45">
        <f>A21+1</f>
        <v/>
      </c>
      <c r="B22">
        <f>COUNTIFS('All Payments'!$B$2:$B$501,A22,'All Payments'!$N$2:$N$501,"Approved")</f>
        <v/>
      </c>
      <c r="C22" s="47">
        <f>SUMIFS('All Payments'!$D$2:$D$501,'All Payments'!$B$2:$B$501,A22,'All Payments'!$N$2:$N$501,"Approved")</f>
        <v/>
      </c>
    </row>
    <row r="23">
      <c r="A23" s="45">
        <f>A22+1</f>
        <v/>
      </c>
      <c r="B23">
        <f>COUNTIFS('All Payments'!$B$2:$B$501,A23,'All Payments'!$N$2:$N$501,"Approved")</f>
        <v/>
      </c>
      <c r="C23" s="47">
        <f>SUMIFS('All Payments'!$D$2:$D$501,'All Payments'!$B$2:$B$501,A23,'All Payments'!$N$2:$N$501,"Approved")</f>
        <v/>
      </c>
    </row>
    <row r="24">
      <c r="A24" s="45">
        <f>A23+1</f>
        <v/>
      </c>
      <c r="B24">
        <f>COUNTIFS('All Payments'!$B$2:$B$501,A24,'All Payments'!$N$2:$N$501,"Approved")</f>
        <v/>
      </c>
      <c r="C24" s="47">
        <f>SUMIFS('All Payments'!$D$2:$D$501,'All Payments'!$B$2:$B$501,A24,'All Payments'!$N$2:$N$501,"Approved")</f>
        <v/>
      </c>
    </row>
    <row r="25">
      <c r="A25" s="45">
        <f>A24+1</f>
        <v/>
      </c>
      <c r="B25">
        <f>COUNTIFS('All Payments'!$B$2:$B$501,A25,'All Payments'!$N$2:$N$501,"Approved")</f>
        <v/>
      </c>
      <c r="C25" s="47">
        <f>SUMIFS('All Payments'!$D$2:$D$501,'All Payments'!$B$2:$B$501,A25,'All Payments'!$N$2:$N$501,"Approved")</f>
        <v/>
      </c>
    </row>
    <row r="26">
      <c r="A26" s="45">
        <f>A25+1</f>
        <v/>
      </c>
      <c r="B26">
        <f>COUNTIFS('All Payments'!$B$2:$B$501,A26,'All Payments'!$N$2:$N$501,"Approved")</f>
        <v/>
      </c>
      <c r="C26" s="47">
        <f>SUMIFS('All Payments'!$D$2:$D$501,'All Payments'!$B$2:$B$501,A26,'All Payments'!$N$2:$N$501,"Approved")</f>
        <v/>
      </c>
    </row>
    <row r="27">
      <c r="A27" s="45">
        <f>A26+1</f>
        <v/>
      </c>
      <c r="B27">
        <f>COUNTIFS('All Payments'!$B$2:$B$501,A27,'All Payments'!$N$2:$N$501,"Approved")</f>
        <v/>
      </c>
      <c r="C27" s="47">
        <f>SUMIFS('All Payments'!$D$2:$D$501,'All Payments'!$B$2:$B$501,A27,'All Payments'!$N$2:$N$501,"Approved")</f>
        <v/>
      </c>
    </row>
    <row r="28">
      <c r="A28" s="45">
        <f>A27+1</f>
        <v/>
      </c>
      <c r="B28">
        <f>COUNTIFS('All Payments'!$B$2:$B$501,A28,'All Payments'!$N$2:$N$501,"Approved")</f>
        <v/>
      </c>
      <c r="C28" s="47">
        <f>SUMIFS('All Payments'!$D$2:$D$501,'All Payments'!$B$2:$B$501,A28,'All Payments'!$N$2:$N$501,"Approved")</f>
        <v/>
      </c>
    </row>
    <row r="29">
      <c r="A29" s="45">
        <f>A28+1</f>
        <v/>
      </c>
      <c r="B29">
        <f>COUNTIFS('All Payments'!$B$2:$B$501,A29,'All Payments'!$N$2:$N$501,"Approved")</f>
        <v/>
      </c>
      <c r="C29" s="47">
        <f>SUMIFS('All Payments'!$D$2:$D$501,'All Payments'!$B$2:$B$501,A29,'All Payments'!$N$2:$N$501,"Approved")</f>
        <v/>
      </c>
    </row>
    <row r="30">
      <c r="A30" s="45">
        <f>A29+1</f>
        <v/>
      </c>
      <c r="B30">
        <f>COUNTIFS('All Payments'!$B$2:$B$501,A30,'All Payments'!$N$2:$N$501,"Approved")</f>
        <v/>
      </c>
      <c r="C30" s="47">
        <f>SUMIFS('All Payments'!$D$2:$D$501,'All Payments'!$B$2:$B$501,A30,'All Payments'!$N$2:$N$501,"Approved")</f>
        <v/>
      </c>
    </row>
    <row r="31">
      <c r="A31" s="45">
        <f>A30+1</f>
        <v/>
      </c>
      <c r="B31">
        <f>COUNTIFS('All Payments'!$B$2:$B$501,A31,'All Payments'!$N$2:$N$501,"Approved")</f>
        <v/>
      </c>
      <c r="C31" s="47">
        <f>SUMIFS('All Payments'!$D$2:$D$501,'All Payments'!$B$2:$B$501,A31,'All Payments'!$N$2:$N$501,"Approved")</f>
        <v/>
      </c>
    </row>
    <row r="32">
      <c r="A32" s="45">
        <f>A31+1</f>
        <v/>
      </c>
      <c r="B32">
        <f>COUNTIFS('All Payments'!$B$2:$B$501,A32,'All Payments'!$N$2:$N$501,"Approved")</f>
        <v/>
      </c>
      <c r="C32" s="47">
        <f>SUMIFS('All Payments'!$D$2:$D$501,'All Payments'!$B$2:$B$501,A32,'All Payments'!$N$2:$N$501,"Approved")</f>
        <v/>
      </c>
    </row>
    <row r="33">
      <c r="A33" s="45">
        <f>A32+1</f>
        <v/>
      </c>
      <c r="B33">
        <f>COUNTIFS('All Payments'!$B$2:$B$501,A33,'All Payments'!$N$2:$N$501,"Approved")</f>
        <v/>
      </c>
      <c r="C33" s="47">
        <f>SUMIFS('All Payments'!$D$2:$D$501,'All Payments'!$B$2:$B$501,A33,'All Payments'!$N$2:$N$501,"Approved")</f>
        <v/>
      </c>
    </row>
    <row r="34">
      <c r="A34" s="45">
        <f>A33+1</f>
        <v/>
      </c>
      <c r="B34">
        <f>COUNTIFS('All Payments'!$B$2:$B$501,A34,'All Payments'!$N$2:$N$501,"Approved")</f>
        <v/>
      </c>
      <c r="C34" s="47">
        <f>SUMIFS('All Payments'!$D$2:$D$501,'All Payments'!$B$2:$B$501,A34,'All Payments'!$N$2:$N$501,"Approved")</f>
        <v/>
      </c>
    </row>
    <row r="35">
      <c r="A35" s="45">
        <f>A34+1</f>
        <v/>
      </c>
      <c r="B35">
        <f>COUNTIFS('All Payments'!$B$2:$B$501,A35,'All Payments'!$N$2:$N$501,"Approved")</f>
        <v/>
      </c>
      <c r="C35" s="47">
        <f>SUMIFS('All Payments'!$D$2:$D$501,'All Payments'!$B$2:$B$501,A35,'All Payments'!$N$2:$N$501,"Approved")</f>
        <v/>
      </c>
    </row>
    <row r="36">
      <c r="A36" s="45">
        <f>A35+1</f>
        <v/>
      </c>
      <c r="B36">
        <f>COUNTIFS('All Payments'!$B$2:$B$501,A36,'All Payments'!$N$2:$N$501,"Approved")</f>
        <v/>
      </c>
      <c r="C36" s="47">
        <f>SUMIFS('All Payments'!$D$2:$D$501,'All Payments'!$B$2:$B$501,A36,'All Payments'!$N$2:$N$501,"Approved")</f>
        <v/>
      </c>
    </row>
    <row r="37">
      <c r="A37" s="45">
        <f>A36+1</f>
        <v/>
      </c>
      <c r="B37">
        <f>COUNTIFS('All Payments'!$B$2:$B$501,A37,'All Payments'!$N$2:$N$501,"Approved")</f>
        <v/>
      </c>
      <c r="C37" s="47">
        <f>SUMIFS('All Payments'!$D$2:$D$501,'All Payments'!$B$2:$B$501,A37,'All Payments'!$N$2:$N$501,"Approved")</f>
        <v/>
      </c>
    </row>
    <row r="38">
      <c r="A38" s="45">
        <f>A37+1</f>
        <v/>
      </c>
      <c r="B38">
        <f>COUNTIFS('All Payments'!$B$2:$B$501,A38,'All Payments'!$N$2:$N$501,"Approved")</f>
        <v/>
      </c>
      <c r="C38" s="47">
        <f>SUMIFS('All Payments'!$D$2:$D$501,'All Payments'!$B$2:$B$501,A38,'All Payments'!$N$2:$N$501,"Approved")</f>
        <v/>
      </c>
    </row>
    <row r="39">
      <c r="A39" s="45">
        <f>A38+1</f>
        <v/>
      </c>
      <c r="B39">
        <f>COUNTIFS('All Payments'!$B$2:$B$501,A39,'All Payments'!$N$2:$N$501,"Approved")</f>
        <v/>
      </c>
      <c r="C39" s="47">
        <f>SUMIFS('All Payments'!$D$2:$D$501,'All Payments'!$B$2:$B$501,A39,'All Payments'!$N$2:$N$501,"Approved")</f>
        <v/>
      </c>
    </row>
    <row r="40">
      <c r="A40" s="45">
        <f>A39+1</f>
        <v/>
      </c>
      <c r="B40">
        <f>COUNTIFS('All Payments'!$B$2:$B$501,A40,'All Payments'!$N$2:$N$501,"Approved")</f>
        <v/>
      </c>
      <c r="C40" s="47">
        <f>SUMIFS('All Payments'!$D$2:$D$501,'All Payments'!$B$2:$B$501,A40,'All Payments'!$N$2:$N$501,"Approved")</f>
        <v/>
      </c>
    </row>
    <row r="41">
      <c r="A41" s="45">
        <f>A40+1</f>
        <v/>
      </c>
      <c r="B41">
        <f>COUNTIFS('All Payments'!$B$2:$B$501,A41,'All Payments'!$N$2:$N$501,"Approved")</f>
        <v/>
      </c>
      <c r="C41" s="47">
        <f>SUMIFS('All Payments'!$D$2:$D$501,'All Payments'!$B$2:$B$501,A41,'All Payments'!$N$2:$N$501,"Approved")</f>
        <v/>
      </c>
    </row>
    <row r="42">
      <c r="A42" s="45">
        <f>A41+1</f>
        <v/>
      </c>
      <c r="B42">
        <f>COUNTIFS('All Payments'!$B$2:$B$501,A42,'All Payments'!$N$2:$N$501,"Approved")</f>
        <v/>
      </c>
      <c r="C42" s="47">
        <f>SUMIFS('All Payments'!$D$2:$D$501,'All Payments'!$B$2:$B$501,A42,'All Payments'!$N$2:$N$501,"Approved")</f>
        <v/>
      </c>
    </row>
    <row r="43">
      <c r="A43" s="45">
        <f>A42+1</f>
        <v/>
      </c>
      <c r="B43">
        <f>COUNTIFS('All Payments'!$B$2:$B$501,A43,'All Payments'!$N$2:$N$501,"Approved")</f>
        <v/>
      </c>
      <c r="C43" s="47">
        <f>SUMIFS('All Payments'!$D$2:$D$501,'All Payments'!$B$2:$B$501,A43,'All Payments'!$N$2:$N$501,"Approved")</f>
        <v/>
      </c>
    </row>
    <row r="44">
      <c r="A44" s="45">
        <f>A43+1</f>
        <v/>
      </c>
      <c r="B44">
        <f>COUNTIFS('All Payments'!$B$2:$B$501,A44,'All Payments'!$N$2:$N$501,"Approved")</f>
        <v/>
      </c>
      <c r="C44" s="47">
        <f>SUMIFS('All Payments'!$D$2:$D$501,'All Payments'!$B$2:$B$501,A44,'All Payments'!$N$2:$N$501,"Approved")</f>
        <v/>
      </c>
    </row>
    <row r="45">
      <c r="A45" s="45">
        <f>A44+1</f>
        <v/>
      </c>
      <c r="B45">
        <f>COUNTIFS('All Payments'!$B$2:$B$501,A45,'All Payments'!$N$2:$N$501,"Approved")</f>
        <v/>
      </c>
      <c r="C45" s="47">
        <f>SUMIFS('All Payments'!$D$2:$D$501,'All Payments'!$B$2:$B$501,A45,'All Payments'!$N$2:$N$501,"Approved")</f>
        <v/>
      </c>
    </row>
    <row r="46">
      <c r="A46" s="45">
        <f>A45+1</f>
        <v/>
      </c>
      <c r="B46">
        <f>COUNTIFS('All Payments'!$B$2:$B$501,A46,'All Payments'!$N$2:$N$501,"Approved")</f>
        <v/>
      </c>
      <c r="C46" s="47">
        <f>SUMIFS('All Payments'!$D$2:$D$501,'All Payments'!$B$2:$B$501,A46,'All Payments'!$N$2:$N$501,"Approved")</f>
        <v/>
      </c>
    </row>
    <row r="47">
      <c r="A47" s="45">
        <f>A46+1</f>
        <v/>
      </c>
      <c r="B47">
        <f>COUNTIFS('All Payments'!$B$2:$B$501,A47,'All Payments'!$N$2:$N$501,"Approved")</f>
        <v/>
      </c>
      <c r="C47" s="47">
        <f>SUMIFS('All Payments'!$D$2:$D$501,'All Payments'!$B$2:$B$501,A47,'All Payments'!$N$2:$N$501,"Approved")</f>
        <v/>
      </c>
    </row>
    <row r="48">
      <c r="A48" s="45">
        <f>A47+1</f>
        <v/>
      </c>
      <c r="B48">
        <f>COUNTIFS('All Payments'!$B$2:$B$501,A48,'All Payments'!$N$2:$N$501,"Approved")</f>
        <v/>
      </c>
      <c r="C48" s="47">
        <f>SUMIFS('All Payments'!$D$2:$D$501,'All Payments'!$B$2:$B$501,A48,'All Payments'!$N$2:$N$501,"Approved")</f>
        <v/>
      </c>
    </row>
    <row r="49">
      <c r="A49" s="45">
        <f>A48+1</f>
        <v/>
      </c>
      <c r="B49">
        <f>COUNTIFS('All Payments'!$B$2:$B$501,A49,'All Payments'!$N$2:$N$501,"Approved")</f>
        <v/>
      </c>
      <c r="C49" s="47">
        <f>SUMIFS('All Payments'!$D$2:$D$501,'All Payments'!$B$2:$B$501,A49,'All Payments'!$N$2:$N$501,"Approved")</f>
        <v/>
      </c>
    </row>
    <row r="50">
      <c r="A50" s="45">
        <f>A49+1</f>
        <v/>
      </c>
      <c r="B50">
        <f>COUNTIFS('All Payments'!$B$2:$B$501,A50,'All Payments'!$N$2:$N$501,"Approved")</f>
        <v/>
      </c>
      <c r="C50" s="47">
        <f>SUMIFS('All Payments'!$D$2:$D$501,'All Payments'!$B$2:$B$501,A50,'All Payments'!$N$2:$N$501,"Approved")</f>
        <v/>
      </c>
    </row>
    <row r="51">
      <c r="A51" s="45">
        <f>A50+1</f>
        <v/>
      </c>
      <c r="B51">
        <f>COUNTIFS('All Payments'!$B$2:$B$501,A51,'All Payments'!$N$2:$N$501,"Approved")</f>
        <v/>
      </c>
      <c r="C51" s="47">
        <f>SUMIFS('All Payments'!$D$2:$D$501,'All Payments'!$B$2:$B$501,A51,'All Payments'!$N$2:$N$501,"Approved")</f>
        <v/>
      </c>
    </row>
    <row r="52">
      <c r="A52" s="45">
        <f>A51+1</f>
        <v/>
      </c>
      <c r="B52">
        <f>COUNTIFS('All Payments'!$B$2:$B$501,A52,'All Payments'!$N$2:$N$501,"Approved")</f>
        <v/>
      </c>
      <c r="C52" s="47">
        <f>SUMIFS('All Payments'!$D$2:$D$501,'All Payments'!$B$2:$B$501,A52,'All Payments'!$N$2:$N$501,"Approved")</f>
        <v/>
      </c>
    </row>
    <row r="53">
      <c r="A53" s="45">
        <f>A52+1</f>
        <v/>
      </c>
      <c r="B53">
        <f>COUNTIFS('All Payments'!$B$2:$B$501,A53,'All Payments'!$N$2:$N$501,"Approved")</f>
        <v/>
      </c>
      <c r="C53" s="47">
        <f>SUMIFS('All Payments'!$D$2:$D$501,'All Payments'!$B$2:$B$501,A53,'All Payments'!$N$2:$N$501,"Approved")</f>
        <v/>
      </c>
    </row>
    <row r="54">
      <c r="A54" s="45">
        <f>A53+1</f>
        <v/>
      </c>
      <c r="B54">
        <f>COUNTIFS('All Payments'!$B$2:$B$501,A54,'All Payments'!$N$2:$N$501,"Approved")</f>
        <v/>
      </c>
      <c r="C54" s="47">
        <f>SUMIFS('All Payments'!$D$2:$D$501,'All Payments'!$B$2:$B$501,A54,'All Payments'!$N$2:$N$501,"Approved")</f>
        <v/>
      </c>
    </row>
    <row r="55">
      <c r="A55" s="45">
        <f>A54+1</f>
        <v/>
      </c>
      <c r="B55">
        <f>COUNTIFS('All Payments'!$B$2:$B$501,A55,'All Payments'!$N$2:$N$501,"Approved")</f>
        <v/>
      </c>
      <c r="C55" s="47">
        <f>SUMIFS('All Payments'!$D$2:$D$501,'All Payments'!$B$2:$B$501,A55,'All Payments'!$N$2:$N$501,"Approved")</f>
        <v/>
      </c>
    </row>
    <row r="56">
      <c r="A56" s="45">
        <f>A55+1</f>
        <v/>
      </c>
      <c r="B56">
        <f>COUNTIFS('All Payments'!$B$2:$B$501,A56,'All Payments'!$N$2:$N$501,"Approved")</f>
        <v/>
      </c>
      <c r="C56" s="47">
        <f>SUMIFS('All Payments'!$D$2:$D$501,'All Payments'!$B$2:$B$501,A56,'All Payments'!$N$2:$N$501,"Approved")</f>
        <v/>
      </c>
    </row>
    <row r="57">
      <c r="A57" s="45">
        <f>A56+1</f>
        <v/>
      </c>
      <c r="B57">
        <f>COUNTIFS('All Payments'!$B$2:$B$501,A57,'All Payments'!$N$2:$N$501,"Approved")</f>
        <v/>
      </c>
      <c r="C57" s="47">
        <f>SUMIFS('All Payments'!$D$2:$D$501,'All Payments'!$B$2:$B$501,A57,'All Payments'!$N$2:$N$501,"Approved")</f>
        <v/>
      </c>
    </row>
    <row r="58">
      <c r="A58" s="45">
        <f>A57+1</f>
        <v/>
      </c>
      <c r="B58">
        <f>COUNTIFS('All Payments'!$B$2:$B$501,A58,'All Payments'!$N$2:$N$501,"Approved")</f>
        <v/>
      </c>
      <c r="C58" s="47">
        <f>SUMIFS('All Payments'!$D$2:$D$501,'All Payments'!$B$2:$B$501,A58,'All Payments'!$N$2:$N$501,"Approved")</f>
        <v/>
      </c>
    </row>
    <row r="59">
      <c r="A59" s="45">
        <f>A58+1</f>
        <v/>
      </c>
      <c r="B59">
        <f>COUNTIFS('All Payments'!$B$2:$B$501,A59,'All Payments'!$N$2:$N$501,"Approved")</f>
        <v/>
      </c>
      <c r="C59" s="47">
        <f>SUMIFS('All Payments'!$D$2:$D$501,'All Payments'!$B$2:$B$501,A59,'All Payments'!$N$2:$N$501,"Approved")</f>
        <v/>
      </c>
    </row>
    <row r="60">
      <c r="A60" s="45">
        <f>A59+1</f>
        <v/>
      </c>
      <c r="B60">
        <f>COUNTIFS('All Payments'!$B$2:$B$501,A60,'All Payments'!$N$2:$N$501,"Approved")</f>
        <v/>
      </c>
      <c r="C60" s="47">
        <f>SUMIFS('All Payments'!$D$2:$D$501,'All Payments'!$B$2:$B$501,A60,'All Payments'!$N$2:$N$501,"Approved")</f>
        <v/>
      </c>
    </row>
    <row r="61">
      <c r="A61" s="45">
        <f>A60+1</f>
        <v/>
      </c>
      <c r="B61">
        <f>COUNTIFS('All Payments'!$B$2:$B$501,A61,'All Payments'!$N$2:$N$501,"Approved")</f>
        <v/>
      </c>
      <c r="C61" s="47">
        <f>SUMIFS('All Payments'!$D$2:$D$501,'All Payments'!$B$2:$B$501,A61,'All Payments'!$N$2:$N$501,"Approved")</f>
        <v/>
      </c>
    </row>
    <row r="62">
      <c r="A62" s="45">
        <f>A61+1</f>
        <v/>
      </c>
      <c r="B62">
        <f>COUNTIFS('All Payments'!$B$2:$B$501,A62,'All Payments'!$N$2:$N$501,"Approved")</f>
        <v/>
      </c>
      <c r="C62" s="47">
        <f>SUMIFS('All Payments'!$D$2:$D$501,'All Payments'!$B$2:$B$501,A62,'All Payments'!$N$2:$N$501,"Approved")</f>
        <v/>
      </c>
    </row>
    <row r="63">
      <c r="A63" s="45">
        <f>A62+1</f>
        <v/>
      </c>
      <c r="B63">
        <f>COUNTIFS('All Payments'!$B$2:$B$501,A63,'All Payments'!$N$2:$N$501,"Approved")</f>
        <v/>
      </c>
      <c r="C63" s="47">
        <f>SUMIFS('All Payments'!$D$2:$D$501,'All Payments'!$B$2:$B$501,A63,'All Payments'!$N$2:$N$501,"Approved")</f>
        <v/>
      </c>
    </row>
    <row r="64">
      <c r="A64" s="45">
        <f>A63+1</f>
        <v/>
      </c>
      <c r="B64">
        <f>COUNTIFS('All Payments'!$B$2:$B$501,A64,'All Payments'!$N$2:$N$501,"Approved")</f>
        <v/>
      </c>
      <c r="C64" s="47">
        <f>SUMIFS('All Payments'!$D$2:$D$501,'All Payments'!$B$2:$B$501,A64,'All Payments'!$N$2:$N$501,"Approved")</f>
        <v/>
      </c>
    </row>
    <row r="65">
      <c r="A65" s="45">
        <f>A64+1</f>
        <v/>
      </c>
      <c r="B65">
        <f>COUNTIFS('All Payments'!$B$2:$B$501,A65,'All Payments'!$N$2:$N$501,"Approved")</f>
        <v/>
      </c>
      <c r="C65" s="47">
        <f>SUMIFS('All Payments'!$D$2:$D$501,'All Payments'!$B$2:$B$501,A65,'All Payments'!$N$2:$N$501,"Approved")</f>
        <v/>
      </c>
    </row>
    <row r="66">
      <c r="A66" s="45">
        <f>A65+1</f>
        <v/>
      </c>
      <c r="B66">
        <f>COUNTIFS('All Payments'!$B$2:$B$501,A66,'All Payments'!$N$2:$N$501,"Approved")</f>
        <v/>
      </c>
      <c r="C66" s="47">
        <f>SUMIFS('All Payments'!$D$2:$D$501,'All Payments'!$B$2:$B$501,A66,'All Payments'!$N$2:$N$501,"Approved")</f>
        <v/>
      </c>
    </row>
    <row r="67">
      <c r="A67" s="45">
        <f>A66+1</f>
        <v/>
      </c>
      <c r="B67">
        <f>COUNTIFS('All Payments'!$B$2:$B$501,A67,'All Payments'!$N$2:$N$501,"Approved")</f>
        <v/>
      </c>
      <c r="C67" s="47">
        <f>SUMIFS('All Payments'!$D$2:$D$501,'All Payments'!$B$2:$B$501,A67,'All Payments'!$N$2:$N$501,"Approved")</f>
        <v/>
      </c>
    </row>
    <row r="68">
      <c r="A68" s="45">
        <f>A67+1</f>
        <v/>
      </c>
      <c r="B68">
        <f>COUNTIFS('All Payments'!$B$2:$B$501,A68,'All Payments'!$N$2:$N$501,"Approved")</f>
        <v/>
      </c>
      <c r="C68" s="47">
        <f>SUMIFS('All Payments'!$D$2:$D$501,'All Payments'!$B$2:$B$501,A68,'All Payments'!$N$2:$N$501,"Approved")</f>
        <v/>
      </c>
    </row>
    <row r="69">
      <c r="A69" s="45">
        <f>A68+1</f>
        <v/>
      </c>
      <c r="B69">
        <f>COUNTIFS('All Payments'!$B$2:$B$501,A69,'All Payments'!$N$2:$N$501,"Approved")</f>
        <v/>
      </c>
      <c r="C69" s="47">
        <f>SUMIFS('All Payments'!$D$2:$D$501,'All Payments'!$B$2:$B$501,A69,'All Payments'!$N$2:$N$501,"Approved")</f>
        <v/>
      </c>
    </row>
    <row r="70">
      <c r="A70" s="45">
        <f>A69+1</f>
        <v/>
      </c>
      <c r="B70">
        <f>COUNTIFS('All Payments'!$B$2:$B$501,A70,'All Payments'!$N$2:$N$501,"Approved")</f>
        <v/>
      </c>
      <c r="C70" s="47">
        <f>SUMIFS('All Payments'!$D$2:$D$501,'All Payments'!$B$2:$B$501,A70,'All Payments'!$N$2:$N$501,"Approved")</f>
        <v/>
      </c>
    </row>
    <row r="71">
      <c r="A71" s="45">
        <f>A70+1</f>
        <v/>
      </c>
      <c r="B71">
        <f>COUNTIFS('All Payments'!$B$2:$B$501,A71,'All Payments'!$N$2:$N$501,"Approved")</f>
        <v/>
      </c>
      <c r="C71" s="47">
        <f>SUMIFS('All Payments'!$D$2:$D$501,'All Payments'!$B$2:$B$501,A71,'All Payments'!$N$2:$N$501,"Approved")</f>
        <v/>
      </c>
    </row>
    <row r="72">
      <c r="A72" s="45">
        <f>A71+1</f>
        <v/>
      </c>
      <c r="B72">
        <f>COUNTIFS('All Payments'!$B$2:$B$501,A72,'All Payments'!$N$2:$N$501,"Approved")</f>
        <v/>
      </c>
      <c r="C72" s="47">
        <f>SUMIFS('All Payments'!$D$2:$D$501,'All Payments'!$B$2:$B$501,A72,'All Payments'!$N$2:$N$501,"Approved")</f>
        <v/>
      </c>
    </row>
    <row r="73">
      <c r="A73" s="45">
        <f>A72+1</f>
        <v/>
      </c>
      <c r="B73">
        <f>COUNTIFS('All Payments'!$B$2:$B$501,A73,'All Payments'!$N$2:$N$501,"Approved")</f>
        <v/>
      </c>
      <c r="C73" s="47">
        <f>SUMIFS('All Payments'!$D$2:$D$501,'All Payments'!$B$2:$B$501,A73,'All Payments'!$N$2:$N$501,"Approved")</f>
        <v/>
      </c>
    </row>
    <row r="74">
      <c r="A74" s="45">
        <f>A73+1</f>
        <v/>
      </c>
      <c r="B74">
        <f>COUNTIFS('All Payments'!$B$2:$B$501,A74,'All Payments'!$N$2:$N$501,"Approved")</f>
        <v/>
      </c>
      <c r="C74" s="47">
        <f>SUMIFS('All Payments'!$D$2:$D$501,'All Payments'!$B$2:$B$501,A74,'All Payments'!$N$2:$N$501,"Approved")</f>
        <v/>
      </c>
    </row>
    <row r="75">
      <c r="A75" s="45">
        <f>A74+1</f>
        <v/>
      </c>
      <c r="B75">
        <f>COUNTIFS('All Payments'!$B$2:$B$501,A75,'All Payments'!$N$2:$N$501,"Approved")</f>
        <v/>
      </c>
      <c r="C75" s="47">
        <f>SUMIFS('All Payments'!$D$2:$D$501,'All Payments'!$B$2:$B$501,A75,'All Payments'!$N$2:$N$501,"Approved")</f>
        <v/>
      </c>
    </row>
    <row r="76">
      <c r="A76" s="45">
        <f>A75+1</f>
        <v/>
      </c>
      <c r="B76">
        <f>COUNTIFS('All Payments'!$B$2:$B$501,A76,'All Payments'!$N$2:$N$501,"Approved")</f>
        <v/>
      </c>
      <c r="C76" s="47">
        <f>SUMIFS('All Payments'!$D$2:$D$501,'All Payments'!$B$2:$B$501,A76,'All Payments'!$N$2:$N$501,"Approved")</f>
        <v/>
      </c>
    </row>
    <row r="77">
      <c r="A77" s="45">
        <f>A76+1</f>
        <v/>
      </c>
      <c r="B77">
        <f>COUNTIFS('All Payments'!$B$2:$B$501,A77,'All Payments'!$N$2:$N$501,"Approved")</f>
        <v/>
      </c>
      <c r="C77" s="47">
        <f>SUMIFS('All Payments'!$D$2:$D$501,'All Payments'!$B$2:$B$501,A77,'All Payments'!$N$2:$N$501,"Approved")</f>
        <v/>
      </c>
    </row>
    <row r="78">
      <c r="A78" s="45">
        <f>A77+1</f>
        <v/>
      </c>
      <c r="B78">
        <f>COUNTIFS('All Payments'!$B$2:$B$501,A78,'All Payments'!$N$2:$N$501,"Approved")</f>
        <v/>
      </c>
      <c r="C78" s="47">
        <f>SUMIFS('All Payments'!$D$2:$D$501,'All Payments'!$B$2:$B$501,A78,'All Payments'!$N$2:$N$501,"Approved")</f>
        <v/>
      </c>
    </row>
    <row r="79">
      <c r="A79" s="45">
        <f>A78+1</f>
        <v/>
      </c>
      <c r="B79">
        <f>COUNTIFS('All Payments'!$B$2:$B$501,A79,'All Payments'!$N$2:$N$501,"Approved")</f>
        <v/>
      </c>
      <c r="C79" s="47">
        <f>SUMIFS('All Payments'!$D$2:$D$501,'All Payments'!$B$2:$B$501,A79,'All Payments'!$N$2:$N$501,"Approved")</f>
        <v/>
      </c>
    </row>
    <row r="80">
      <c r="A80" s="45">
        <f>A79+1</f>
        <v/>
      </c>
      <c r="B80">
        <f>COUNTIFS('All Payments'!$B$2:$B$501,A80,'All Payments'!$N$2:$N$501,"Approved")</f>
        <v/>
      </c>
      <c r="C80" s="47">
        <f>SUMIFS('All Payments'!$D$2:$D$501,'All Payments'!$B$2:$B$501,A80,'All Payments'!$N$2:$N$501,"Approved")</f>
        <v/>
      </c>
    </row>
    <row r="81">
      <c r="A81" s="45">
        <f>A80+1</f>
        <v/>
      </c>
      <c r="B81">
        <f>COUNTIFS('All Payments'!$B$2:$B$501,A81,'All Payments'!$N$2:$N$501,"Approved")</f>
        <v/>
      </c>
      <c r="C81" s="47">
        <f>SUMIFS('All Payments'!$D$2:$D$501,'All Payments'!$B$2:$B$501,A81,'All Payments'!$N$2:$N$501,"Approved")</f>
        <v/>
      </c>
    </row>
    <row r="82">
      <c r="A82" s="45">
        <f>A81+1</f>
        <v/>
      </c>
      <c r="B82">
        <f>COUNTIFS('All Payments'!$B$2:$B$501,A82,'All Payments'!$N$2:$N$501,"Approved")</f>
        <v/>
      </c>
      <c r="C82" s="47">
        <f>SUMIFS('All Payments'!$D$2:$D$501,'All Payments'!$B$2:$B$501,A82,'All Payments'!$N$2:$N$501,"Approved")</f>
        <v/>
      </c>
    </row>
    <row r="83">
      <c r="A83" s="45">
        <f>A82+1</f>
        <v/>
      </c>
      <c r="B83">
        <f>COUNTIFS('All Payments'!$B$2:$B$501,A83,'All Payments'!$N$2:$N$501,"Approved")</f>
        <v/>
      </c>
      <c r="C83" s="47">
        <f>SUMIFS('All Payments'!$D$2:$D$501,'All Payments'!$B$2:$B$501,A83,'All Payments'!$N$2:$N$501,"Approved")</f>
        <v/>
      </c>
    </row>
    <row r="84">
      <c r="A84" s="45">
        <f>A83+1</f>
        <v/>
      </c>
      <c r="B84">
        <f>COUNTIFS('All Payments'!$B$2:$B$501,A84,'All Payments'!$N$2:$N$501,"Approved")</f>
        <v/>
      </c>
      <c r="C84" s="47">
        <f>SUMIFS('All Payments'!$D$2:$D$501,'All Payments'!$B$2:$B$501,A84,'All Payments'!$N$2:$N$501,"Approved")</f>
        <v/>
      </c>
    </row>
    <row r="85">
      <c r="A85" s="45">
        <f>A84+1</f>
        <v/>
      </c>
      <c r="B85">
        <f>COUNTIFS('All Payments'!$B$2:$B$501,A85,'All Payments'!$N$2:$N$501,"Approved")</f>
        <v/>
      </c>
      <c r="C85" s="47">
        <f>SUMIFS('All Payments'!$D$2:$D$501,'All Payments'!$B$2:$B$501,A85,'All Payments'!$N$2:$N$501,"Approved")</f>
        <v/>
      </c>
    </row>
    <row r="86">
      <c r="A86" s="45">
        <f>A85+1</f>
        <v/>
      </c>
      <c r="B86">
        <f>COUNTIFS('All Payments'!$B$2:$B$501,A86,'All Payments'!$N$2:$N$501,"Approved")</f>
        <v/>
      </c>
      <c r="C86" s="47">
        <f>SUMIFS('All Payments'!$D$2:$D$501,'All Payments'!$B$2:$B$501,A86,'All Payments'!$N$2:$N$501,"Approved")</f>
        <v/>
      </c>
    </row>
    <row r="87">
      <c r="A87" s="45">
        <f>A86+1</f>
        <v/>
      </c>
      <c r="B87">
        <f>COUNTIFS('All Payments'!$B$2:$B$501,A87,'All Payments'!$N$2:$N$501,"Approved")</f>
        <v/>
      </c>
      <c r="C87" s="47">
        <f>SUMIFS('All Payments'!$D$2:$D$501,'All Payments'!$B$2:$B$501,A87,'All Payments'!$N$2:$N$501,"Approved")</f>
        <v/>
      </c>
    </row>
    <row r="88">
      <c r="A88" s="45">
        <f>A87+1</f>
        <v/>
      </c>
      <c r="B88">
        <f>COUNTIFS('All Payments'!$B$2:$B$501,A88,'All Payments'!$N$2:$N$501,"Approved")</f>
        <v/>
      </c>
      <c r="C88" s="47">
        <f>SUMIFS('All Payments'!$D$2:$D$501,'All Payments'!$B$2:$B$501,A88,'All Payments'!$N$2:$N$501,"Approved")</f>
        <v/>
      </c>
    </row>
    <row r="89">
      <c r="A89" s="45">
        <f>A88+1</f>
        <v/>
      </c>
      <c r="B89">
        <f>COUNTIFS('All Payments'!$B$2:$B$501,A89,'All Payments'!$N$2:$N$501,"Approved")</f>
        <v/>
      </c>
      <c r="C89" s="47">
        <f>SUMIFS('All Payments'!$D$2:$D$501,'All Payments'!$B$2:$B$501,A89,'All Payments'!$N$2:$N$501,"Approved")</f>
        <v/>
      </c>
    </row>
    <row r="90">
      <c r="A90" s="45">
        <f>A89+1</f>
        <v/>
      </c>
      <c r="B90">
        <f>COUNTIFS('All Payments'!$B$2:$B$501,A90,'All Payments'!$N$2:$N$501,"Approved")</f>
        <v/>
      </c>
      <c r="C90" s="47">
        <f>SUMIFS('All Payments'!$D$2:$D$501,'All Payments'!$B$2:$B$501,A90,'All Payments'!$N$2:$N$501,"Approved")</f>
        <v/>
      </c>
    </row>
    <row r="91">
      <c r="A91" s="45">
        <f>A90+1</f>
        <v/>
      </c>
      <c r="B91">
        <f>COUNTIFS('All Payments'!$B$2:$B$501,A91,'All Payments'!$N$2:$N$501,"Approved")</f>
        <v/>
      </c>
      <c r="C91" s="47">
        <f>SUMIFS('All Payments'!$D$2:$D$501,'All Payments'!$B$2:$B$501,A91,'All Payments'!$N$2:$N$501,"Approved")</f>
        <v/>
      </c>
    </row>
    <row r="92">
      <c r="A92" s="45">
        <f>A91+1</f>
        <v/>
      </c>
      <c r="B92">
        <f>COUNTIFS('All Payments'!$B$2:$B$501,A92,'All Payments'!$N$2:$N$501,"Approved")</f>
        <v/>
      </c>
      <c r="C92" s="47">
        <f>SUMIFS('All Payments'!$D$2:$D$501,'All Payments'!$B$2:$B$501,A92,'All Payments'!$N$2:$N$501,"Approved")</f>
        <v/>
      </c>
    </row>
    <row r="93">
      <c r="A93" s="45">
        <f>A92+1</f>
        <v/>
      </c>
      <c r="B93">
        <f>COUNTIFS('All Payments'!$B$2:$B$501,A93,'All Payments'!$N$2:$N$501,"Approved")</f>
        <v/>
      </c>
      <c r="C93" s="47">
        <f>SUMIFS('All Payments'!$D$2:$D$501,'All Payments'!$B$2:$B$501,A93,'All Payments'!$N$2:$N$501,"Approved")</f>
        <v/>
      </c>
    </row>
    <row r="94">
      <c r="A94" s="45">
        <f>A93+1</f>
        <v/>
      </c>
      <c r="B94">
        <f>COUNTIFS('All Payments'!$B$2:$B$501,A94,'All Payments'!$N$2:$N$501,"Approved")</f>
        <v/>
      </c>
      <c r="C94" s="47">
        <f>SUMIFS('All Payments'!$D$2:$D$501,'All Payments'!$B$2:$B$501,A94,'All Payments'!$N$2:$N$501,"Approved")</f>
        <v/>
      </c>
    </row>
    <row r="95">
      <c r="A95" s="45">
        <f>A94+1</f>
        <v/>
      </c>
      <c r="B95">
        <f>COUNTIFS('All Payments'!$B$2:$B$501,A95,'All Payments'!$N$2:$N$501,"Approved")</f>
        <v/>
      </c>
      <c r="C95" s="47">
        <f>SUMIFS('All Payments'!$D$2:$D$501,'All Payments'!$B$2:$B$501,A95,'All Payments'!$N$2:$N$501,"Approved")</f>
        <v/>
      </c>
    </row>
    <row r="96">
      <c r="A96" s="45">
        <f>A95+1</f>
        <v/>
      </c>
      <c r="B96">
        <f>COUNTIFS('All Payments'!$B$2:$B$501,A96,'All Payments'!$N$2:$N$501,"Approved")</f>
        <v/>
      </c>
      <c r="C96" s="47">
        <f>SUMIFS('All Payments'!$D$2:$D$501,'All Payments'!$B$2:$B$501,A96,'All Payments'!$N$2:$N$501,"Approved")</f>
        <v/>
      </c>
    </row>
    <row r="97">
      <c r="A97" s="45">
        <f>A96+1</f>
        <v/>
      </c>
      <c r="B97">
        <f>COUNTIFS('All Payments'!$B$2:$B$501,A97,'All Payments'!$N$2:$N$501,"Approved")</f>
        <v/>
      </c>
      <c r="C97" s="47">
        <f>SUMIFS('All Payments'!$D$2:$D$501,'All Payments'!$B$2:$B$501,A97,'All Payments'!$N$2:$N$501,"Approved")</f>
        <v/>
      </c>
    </row>
    <row r="98">
      <c r="A98" s="45">
        <f>A97+1</f>
        <v/>
      </c>
      <c r="B98">
        <f>COUNTIFS('All Payments'!$B$2:$B$501,A98,'All Payments'!$N$2:$N$501,"Approved")</f>
        <v/>
      </c>
      <c r="C98" s="47">
        <f>SUMIFS('All Payments'!$D$2:$D$501,'All Payments'!$B$2:$B$501,A98,'All Payments'!$N$2:$N$501,"Approved")</f>
        <v/>
      </c>
    </row>
    <row r="99">
      <c r="A99" s="45">
        <f>A98+1</f>
        <v/>
      </c>
      <c r="B99">
        <f>COUNTIFS('All Payments'!$B$2:$B$501,A99,'All Payments'!$N$2:$N$501,"Approved")</f>
        <v/>
      </c>
      <c r="C99" s="47">
        <f>SUMIFS('All Payments'!$D$2:$D$501,'All Payments'!$B$2:$B$501,A99,'All Payments'!$N$2:$N$501,"Approved")</f>
        <v/>
      </c>
    </row>
    <row r="100">
      <c r="A100" s="45">
        <f>A99+1</f>
        <v/>
      </c>
      <c r="B100">
        <f>COUNTIFS('All Payments'!$B$2:$B$501,A100,'All Payments'!$N$2:$N$501,"Approved")</f>
        <v/>
      </c>
      <c r="C100" s="47">
        <f>SUMIFS('All Payments'!$D$2:$D$501,'All Payments'!$B$2:$B$501,A100,'All Payments'!$N$2:$N$501,"Approved")</f>
        <v/>
      </c>
    </row>
    <row r="101">
      <c r="A101" s="45">
        <f>A100+1</f>
        <v/>
      </c>
      <c r="B101">
        <f>COUNTIFS('All Payments'!$B$2:$B$501,A101,'All Payments'!$N$2:$N$501,"Approved")</f>
        <v/>
      </c>
      <c r="C101" s="47">
        <f>SUMIFS('All Payments'!$D$2:$D$501,'All Payments'!$B$2:$B$501,A101,'All Payments'!$N$2:$N$501,"Approved")</f>
        <v/>
      </c>
    </row>
    <row r="102">
      <c r="A102" s="45">
        <f>A101+1</f>
        <v/>
      </c>
      <c r="B102">
        <f>COUNTIFS('All Payments'!$B$2:$B$501,A102,'All Payments'!$N$2:$N$501,"Approved")</f>
        <v/>
      </c>
      <c r="C102" s="47">
        <f>SUMIFS('All Payments'!$D$2:$D$501,'All Payments'!$B$2:$B$501,A102,'All Payments'!$N$2:$N$501,"Approved")</f>
        <v/>
      </c>
    </row>
    <row r="103">
      <c r="A103" s="45">
        <f>A102+1</f>
        <v/>
      </c>
      <c r="B103">
        <f>COUNTIFS('All Payments'!$B$2:$B$501,A103,'All Payments'!$N$2:$N$501,"Approved")</f>
        <v/>
      </c>
      <c r="C103" s="47">
        <f>SUMIFS('All Payments'!$D$2:$D$501,'All Payments'!$B$2:$B$501,A103,'All Payments'!$N$2:$N$501,"Approved")</f>
        <v/>
      </c>
    </row>
    <row r="104">
      <c r="A104" s="45">
        <f>A103+1</f>
        <v/>
      </c>
      <c r="B104">
        <f>COUNTIFS('All Payments'!$B$2:$B$501,A104,'All Payments'!$N$2:$N$501,"Approved")</f>
        <v/>
      </c>
      <c r="C104" s="47">
        <f>SUMIFS('All Payments'!$D$2:$D$501,'All Payments'!$B$2:$B$501,A104,'All Payments'!$N$2:$N$501,"Approved")</f>
        <v/>
      </c>
    </row>
    <row r="105">
      <c r="A105" s="45">
        <f>A104+1</f>
        <v/>
      </c>
      <c r="B105">
        <f>COUNTIFS('All Payments'!$B$2:$B$501,A105,'All Payments'!$N$2:$N$501,"Approved")</f>
        <v/>
      </c>
      <c r="C105" s="47">
        <f>SUMIFS('All Payments'!$D$2:$D$501,'All Payments'!$B$2:$B$501,A105,'All Payments'!$N$2:$N$501,"Approved")</f>
        <v/>
      </c>
    </row>
    <row r="106">
      <c r="A106" s="45">
        <f>A105+1</f>
        <v/>
      </c>
      <c r="B106">
        <f>COUNTIFS('All Payments'!$B$2:$B$501,A106,'All Payments'!$N$2:$N$501,"Approved")</f>
        <v/>
      </c>
      <c r="C106" s="47">
        <f>SUMIFS('All Payments'!$D$2:$D$501,'All Payments'!$B$2:$B$501,A106,'All Payments'!$N$2:$N$501,"Approved")</f>
        <v/>
      </c>
    </row>
    <row r="107">
      <c r="A107" s="45">
        <f>A106+1</f>
        <v/>
      </c>
      <c r="B107">
        <f>COUNTIFS('All Payments'!$B$2:$B$501,A107,'All Payments'!$N$2:$N$501,"Approved")</f>
        <v/>
      </c>
      <c r="C107" s="47">
        <f>SUMIFS('All Payments'!$D$2:$D$501,'All Payments'!$B$2:$B$501,A107,'All Payments'!$N$2:$N$501,"Approved")</f>
        <v/>
      </c>
    </row>
    <row r="108">
      <c r="A108" s="45">
        <f>A107+1</f>
        <v/>
      </c>
      <c r="B108">
        <f>COUNTIFS('All Payments'!$B$2:$B$501,A108,'All Payments'!$N$2:$N$501,"Approved")</f>
        <v/>
      </c>
      <c r="C108" s="47">
        <f>SUMIFS('All Payments'!$D$2:$D$501,'All Payments'!$B$2:$B$501,A108,'All Payments'!$N$2:$N$501,"Approved")</f>
        <v/>
      </c>
    </row>
    <row r="109">
      <c r="A109" s="45">
        <f>A108+1</f>
        <v/>
      </c>
      <c r="B109">
        <f>COUNTIFS('All Payments'!$B$2:$B$501,A109,'All Payments'!$N$2:$N$501,"Approved")</f>
        <v/>
      </c>
      <c r="C109" s="47">
        <f>SUMIFS('All Payments'!$D$2:$D$501,'All Payments'!$B$2:$B$501,A109,'All Payments'!$N$2:$N$501,"Approved")</f>
        <v/>
      </c>
    </row>
    <row r="110">
      <c r="A110" s="45">
        <f>A109+1</f>
        <v/>
      </c>
      <c r="B110">
        <f>COUNTIFS('All Payments'!$B$2:$B$501,A110,'All Payments'!$N$2:$N$501,"Approved")</f>
        <v/>
      </c>
      <c r="C110" s="47">
        <f>SUMIFS('All Payments'!$D$2:$D$501,'All Payments'!$B$2:$B$501,A110,'All Payments'!$N$2:$N$501,"Approved")</f>
        <v/>
      </c>
    </row>
    <row r="111">
      <c r="A111" s="45">
        <f>A110+1</f>
        <v/>
      </c>
      <c r="B111">
        <f>COUNTIFS('All Payments'!$B$2:$B$501,A111,'All Payments'!$N$2:$N$501,"Approved")</f>
        <v/>
      </c>
      <c r="C111" s="47">
        <f>SUMIFS('All Payments'!$D$2:$D$501,'All Payments'!$B$2:$B$501,A111,'All Payments'!$N$2:$N$501,"Approved")</f>
        <v/>
      </c>
    </row>
    <row r="112">
      <c r="A112" s="45">
        <f>A111+1</f>
        <v/>
      </c>
      <c r="B112">
        <f>COUNTIFS('All Payments'!$B$2:$B$501,A112,'All Payments'!$N$2:$N$501,"Approved")</f>
        <v/>
      </c>
      <c r="C112" s="47">
        <f>SUMIFS('All Payments'!$D$2:$D$501,'All Payments'!$B$2:$B$501,A112,'All Payments'!$N$2:$N$501,"Approved")</f>
        <v/>
      </c>
    </row>
    <row r="113">
      <c r="A113" s="45">
        <f>A112+1</f>
        <v/>
      </c>
      <c r="B113">
        <f>COUNTIFS('All Payments'!$B$2:$B$501,A113,'All Payments'!$N$2:$N$501,"Approved")</f>
        <v/>
      </c>
      <c r="C113" s="47">
        <f>SUMIFS('All Payments'!$D$2:$D$501,'All Payments'!$B$2:$B$501,A113,'All Payments'!$N$2:$N$501,"Approved")</f>
        <v/>
      </c>
    </row>
    <row r="114">
      <c r="A114" s="45">
        <f>A113+1</f>
        <v/>
      </c>
      <c r="B114">
        <f>COUNTIFS('All Payments'!$B$2:$B$501,A114,'All Payments'!$N$2:$N$501,"Approved")</f>
        <v/>
      </c>
      <c r="C114" s="47">
        <f>SUMIFS('All Payments'!$D$2:$D$501,'All Payments'!$B$2:$B$501,A114,'All Payments'!$N$2:$N$501,"Approved")</f>
        <v/>
      </c>
    </row>
    <row r="115">
      <c r="A115" s="45">
        <f>A114+1</f>
        <v/>
      </c>
      <c r="B115">
        <f>COUNTIFS('All Payments'!$B$2:$B$501,A115,'All Payments'!$N$2:$N$501,"Approved")</f>
        <v/>
      </c>
      <c r="C115" s="47">
        <f>SUMIFS('All Payments'!$D$2:$D$501,'All Payments'!$B$2:$B$501,A115,'All Payments'!$N$2:$N$501,"Approved")</f>
        <v/>
      </c>
    </row>
    <row r="116">
      <c r="A116" s="45">
        <f>A115+1</f>
        <v/>
      </c>
      <c r="B116">
        <f>COUNTIFS('All Payments'!$B$2:$B$501,A116,'All Payments'!$N$2:$N$501,"Approved")</f>
        <v/>
      </c>
      <c r="C116" s="47">
        <f>SUMIFS('All Payments'!$D$2:$D$501,'All Payments'!$B$2:$B$501,A116,'All Payments'!$N$2:$N$501,"Approved")</f>
        <v/>
      </c>
    </row>
    <row r="117">
      <c r="A117" s="45">
        <f>A116+1</f>
        <v/>
      </c>
      <c r="B117">
        <f>COUNTIFS('All Payments'!$B$2:$B$501,A117,'All Payments'!$N$2:$N$501,"Approved")</f>
        <v/>
      </c>
      <c r="C117" s="47">
        <f>SUMIFS('All Payments'!$D$2:$D$501,'All Payments'!$B$2:$B$501,A117,'All Payments'!$N$2:$N$501,"Approved")</f>
        <v/>
      </c>
    </row>
    <row r="118">
      <c r="A118" s="45">
        <f>A117+1</f>
        <v/>
      </c>
      <c r="B118">
        <f>COUNTIFS('All Payments'!$B$2:$B$501,A118,'All Payments'!$N$2:$N$501,"Approved")</f>
        <v/>
      </c>
      <c r="C118" s="47">
        <f>SUMIFS('All Payments'!$D$2:$D$501,'All Payments'!$B$2:$B$501,A118,'All Payments'!$N$2:$N$501,"Approved")</f>
        <v/>
      </c>
    </row>
    <row r="119">
      <c r="A119" s="45">
        <f>A118+1</f>
        <v/>
      </c>
      <c r="B119">
        <f>COUNTIFS('All Payments'!$B$2:$B$501,A119,'All Payments'!$N$2:$N$501,"Approved")</f>
        <v/>
      </c>
      <c r="C119" s="47">
        <f>SUMIFS('All Payments'!$D$2:$D$501,'All Payments'!$B$2:$B$501,A119,'All Payments'!$N$2:$N$501,"Approved")</f>
        <v/>
      </c>
    </row>
    <row r="120">
      <c r="A120" s="45">
        <f>A119+1</f>
        <v/>
      </c>
      <c r="B120">
        <f>COUNTIFS('All Payments'!$B$2:$B$501,A120,'All Payments'!$N$2:$N$501,"Approved")</f>
        <v/>
      </c>
      <c r="C120" s="47">
        <f>SUMIFS('All Payments'!$D$2:$D$501,'All Payments'!$B$2:$B$501,A120,'All Payments'!$N$2:$N$501,"Approved")</f>
        <v/>
      </c>
    </row>
    <row r="121">
      <c r="A121" s="45">
        <f>A120+1</f>
        <v/>
      </c>
      <c r="B121">
        <f>COUNTIFS('All Payments'!$B$2:$B$501,A121,'All Payments'!$N$2:$N$501,"Approved")</f>
        <v/>
      </c>
      <c r="C121" s="47">
        <f>SUMIFS('All Payments'!$D$2:$D$501,'All Payments'!$B$2:$B$501,A121,'All Payments'!$N$2:$N$501,"Approved")</f>
        <v/>
      </c>
    </row>
    <row r="122">
      <c r="A122" s="45">
        <f>A121+1</f>
        <v/>
      </c>
      <c r="B122">
        <f>COUNTIFS('All Payments'!$B$2:$B$501,A122,'All Payments'!$N$2:$N$501,"Approved")</f>
        <v/>
      </c>
      <c r="C122" s="47">
        <f>SUMIFS('All Payments'!$D$2:$D$501,'All Payments'!$B$2:$B$501,A122,'All Payments'!$N$2:$N$501,"Approved")</f>
        <v/>
      </c>
    </row>
    <row r="123">
      <c r="A123" s="45">
        <f>A122+1</f>
        <v/>
      </c>
      <c r="B123">
        <f>COUNTIFS('All Payments'!$B$2:$B$501,A123,'All Payments'!$N$2:$N$501,"Approved")</f>
        <v/>
      </c>
      <c r="C123" s="47">
        <f>SUMIFS('All Payments'!$D$2:$D$501,'All Payments'!$B$2:$B$501,A123,'All Payments'!$N$2:$N$501,"Approved")</f>
        <v/>
      </c>
    </row>
    <row r="124">
      <c r="A124" s="45">
        <f>A123+1</f>
        <v/>
      </c>
      <c r="B124">
        <f>COUNTIFS('All Payments'!$B$2:$B$501,A124,'All Payments'!$N$2:$N$501,"Approved")</f>
        <v/>
      </c>
      <c r="C124" s="47">
        <f>SUMIFS('All Payments'!$D$2:$D$501,'All Payments'!$B$2:$B$501,A124,'All Payments'!$N$2:$N$501,"Approved")</f>
        <v/>
      </c>
    </row>
    <row r="125">
      <c r="A125" s="45">
        <f>A124+1</f>
        <v/>
      </c>
      <c r="B125">
        <f>COUNTIFS('All Payments'!$B$2:$B$501,A125,'All Payments'!$N$2:$N$501,"Approved")</f>
        <v/>
      </c>
      <c r="C125" s="47">
        <f>SUMIFS('All Payments'!$D$2:$D$501,'All Payments'!$B$2:$B$501,A125,'All Payments'!$N$2:$N$501,"Approved")</f>
        <v/>
      </c>
    </row>
    <row r="126">
      <c r="A126" s="45">
        <f>A125+1</f>
        <v/>
      </c>
      <c r="B126">
        <f>COUNTIFS('All Payments'!$B$2:$B$501,A126,'All Payments'!$N$2:$N$501,"Approved")</f>
        <v/>
      </c>
      <c r="C126" s="47">
        <f>SUMIFS('All Payments'!$D$2:$D$501,'All Payments'!$B$2:$B$501,A126,'All Payments'!$N$2:$N$501,"Approved")</f>
        <v/>
      </c>
    </row>
    <row r="127">
      <c r="A127" s="45">
        <f>A126+1</f>
        <v/>
      </c>
      <c r="B127">
        <f>COUNTIFS('All Payments'!$B$2:$B$501,A127,'All Payments'!$N$2:$N$501,"Approved")</f>
        <v/>
      </c>
      <c r="C127" s="47">
        <f>SUMIFS('All Payments'!$D$2:$D$501,'All Payments'!$B$2:$B$501,A127,'All Payments'!$N$2:$N$501,"Approved")</f>
        <v/>
      </c>
    </row>
    <row r="128">
      <c r="A128" s="45">
        <f>A127+1</f>
        <v/>
      </c>
      <c r="B128">
        <f>COUNTIFS('All Payments'!$B$2:$B$501,A128,'All Payments'!$N$2:$N$501,"Approved")</f>
        <v/>
      </c>
      <c r="C128" s="47">
        <f>SUMIFS('All Payments'!$D$2:$D$501,'All Payments'!$B$2:$B$501,A128,'All Payments'!$N$2:$N$501,"Approved")</f>
        <v/>
      </c>
    </row>
    <row r="129">
      <c r="A129" s="45">
        <f>A128+1</f>
        <v/>
      </c>
      <c r="B129">
        <f>COUNTIFS('All Payments'!$B$2:$B$501,A129,'All Payments'!$N$2:$N$501,"Approved")</f>
        <v/>
      </c>
      <c r="C129" s="47">
        <f>SUMIFS('All Payments'!$D$2:$D$501,'All Payments'!$B$2:$B$501,A129,'All Payments'!$N$2:$N$501,"Approved")</f>
        <v/>
      </c>
    </row>
    <row r="130">
      <c r="A130" s="45">
        <f>A129+1</f>
        <v/>
      </c>
      <c r="B130">
        <f>COUNTIFS('All Payments'!$B$2:$B$501,A130,'All Payments'!$N$2:$N$501,"Approved")</f>
        <v/>
      </c>
      <c r="C130" s="47">
        <f>SUMIFS('All Payments'!$D$2:$D$501,'All Payments'!$B$2:$B$501,A130,'All Payments'!$N$2:$N$501,"Approved")</f>
        <v/>
      </c>
    </row>
    <row r="131">
      <c r="A131" s="45">
        <f>A130+1</f>
        <v/>
      </c>
      <c r="B131">
        <f>COUNTIFS('All Payments'!$B$2:$B$501,A131,'All Payments'!$N$2:$N$501,"Approved")</f>
        <v/>
      </c>
      <c r="C131" s="47">
        <f>SUMIFS('All Payments'!$D$2:$D$501,'All Payments'!$B$2:$B$501,A131,'All Payments'!$N$2:$N$501,"Approved")</f>
        <v/>
      </c>
    </row>
    <row r="132">
      <c r="A132" s="45">
        <f>A131+1</f>
        <v/>
      </c>
      <c r="B132">
        <f>COUNTIFS('All Payments'!$B$2:$B$501,A132,'All Payments'!$N$2:$N$501,"Approved")</f>
        <v/>
      </c>
      <c r="C132" s="47">
        <f>SUMIFS('All Payments'!$D$2:$D$501,'All Payments'!$B$2:$B$501,A132,'All Payments'!$N$2:$N$501,"Approved")</f>
        <v/>
      </c>
    </row>
    <row r="133">
      <c r="A133" s="45">
        <f>A132+1</f>
        <v/>
      </c>
      <c r="B133">
        <f>COUNTIFS('All Payments'!$B$2:$B$501,A133,'All Payments'!$N$2:$N$501,"Approved")</f>
        <v/>
      </c>
      <c r="C133" s="47">
        <f>SUMIFS('All Payments'!$D$2:$D$501,'All Payments'!$B$2:$B$501,A133,'All Payments'!$N$2:$N$501,"Approved")</f>
        <v/>
      </c>
    </row>
    <row r="134">
      <c r="A134" s="45">
        <f>A133+1</f>
        <v/>
      </c>
      <c r="B134">
        <f>COUNTIFS('All Payments'!$B$2:$B$501,A134,'All Payments'!$N$2:$N$501,"Approved")</f>
        <v/>
      </c>
      <c r="C134" s="47">
        <f>SUMIFS('All Payments'!$D$2:$D$501,'All Payments'!$B$2:$B$501,A134,'All Payments'!$N$2:$N$501,"Approved")</f>
        <v/>
      </c>
    </row>
    <row r="135">
      <c r="A135" s="45">
        <f>A134+1</f>
        <v/>
      </c>
      <c r="B135">
        <f>COUNTIFS('All Payments'!$B$2:$B$501,A135,'All Payments'!$N$2:$N$501,"Approved")</f>
        <v/>
      </c>
      <c r="C135" s="47">
        <f>SUMIFS('All Payments'!$D$2:$D$501,'All Payments'!$B$2:$B$501,A135,'All Payments'!$N$2:$N$501,"Approved")</f>
        <v/>
      </c>
    </row>
    <row r="136">
      <c r="A136" s="45">
        <f>A135+1</f>
        <v/>
      </c>
      <c r="B136">
        <f>COUNTIFS('All Payments'!$B$2:$B$501,A136,'All Payments'!$N$2:$N$501,"Approved")</f>
        <v/>
      </c>
      <c r="C136" s="47">
        <f>SUMIFS('All Payments'!$D$2:$D$501,'All Payments'!$B$2:$B$501,A136,'All Payments'!$N$2:$N$501,"Approved")</f>
        <v/>
      </c>
    </row>
    <row r="137">
      <c r="A137" s="45">
        <f>A136+1</f>
        <v/>
      </c>
      <c r="B137">
        <f>COUNTIFS('All Payments'!$B$2:$B$501,A137,'All Payments'!$N$2:$N$501,"Approved")</f>
        <v/>
      </c>
      <c r="C137" s="47">
        <f>SUMIFS('All Payments'!$D$2:$D$501,'All Payments'!$B$2:$B$501,A137,'All Payments'!$N$2:$N$501,"Approved")</f>
        <v/>
      </c>
    </row>
    <row r="138">
      <c r="A138" s="45">
        <f>A137+1</f>
        <v/>
      </c>
      <c r="B138">
        <f>COUNTIFS('All Payments'!$B$2:$B$501,A138,'All Payments'!$N$2:$N$501,"Approved")</f>
        <v/>
      </c>
      <c r="C138" s="47">
        <f>SUMIFS('All Payments'!$D$2:$D$501,'All Payments'!$B$2:$B$501,A138,'All Payments'!$N$2:$N$501,"Approved")</f>
        <v/>
      </c>
    </row>
    <row r="139">
      <c r="A139" s="45">
        <f>A138+1</f>
        <v/>
      </c>
      <c r="B139">
        <f>COUNTIFS('All Payments'!$B$2:$B$501,A139,'All Payments'!$N$2:$N$501,"Approved")</f>
        <v/>
      </c>
      <c r="C139" s="47">
        <f>SUMIFS('All Payments'!$D$2:$D$501,'All Payments'!$B$2:$B$501,A139,'All Payments'!$N$2:$N$501,"Approved")</f>
        <v/>
      </c>
    </row>
    <row r="140">
      <c r="A140" s="45">
        <f>A139+1</f>
        <v/>
      </c>
      <c r="B140">
        <f>COUNTIFS('All Payments'!$B$2:$B$501,A140,'All Payments'!$N$2:$N$501,"Approved")</f>
        <v/>
      </c>
      <c r="C140" s="47">
        <f>SUMIFS('All Payments'!$D$2:$D$501,'All Payments'!$B$2:$B$501,A140,'All Payments'!$N$2:$N$501,"Approved")</f>
        <v/>
      </c>
    </row>
    <row r="141">
      <c r="A141" s="45">
        <f>A140+1</f>
        <v/>
      </c>
      <c r="B141">
        <f>COUNTIFS('All Payments'!$B$2:$B$501,A141,'All Payments'!$N$2:$N$501,"Approved")</f>
        <v/>
      </c>
      <c r="C141" s="47">
        <f>SUMIFS('All Payments'!$D$2:$D$501,'All Payments'!$B$2:$B$501,A141,'All Payments'!$N$2:$N$501,"Approved")</f>
        <v/>
      </c>
    </row>
    <row r="142">
      <c r="A142" s="45">
        <f>A141+1</f>
        <v/>
      </c>
      <c r="B142">
        <f>COUNTIFS('All Payments'!$B$2:$B$501,A142,'All Payments'!$N$2:$N$501,"Approved")</f>
        <v/>
      </c>
      <c r="C142" s="47">
        <f>SUMIFS('All Payments'!$D$2:$D$501,'All Payments'!$B$2:$B$501,A142,'All Payments'!$N$2:$N$501,"Approved")</f>
        <v/>
      </c>
    </row>
    <row r="143">
      <c r="A143" s="45">
        <f>A142+1</f>
        <v/>
      </c>
      <c r="B143">
        <f>COUNTIFS('All Payments'!$B$2:$B$501,A143,'All Payments'!$N$2:$N$501,"Approved")</f>
        <v/>
      </c>
      <c r="C143" s="47">
        <f>SUMIFS('All Payments'!$D$2:$D$501,'All Payments'!$B$2:$B$501,A143,'All Payments'!$N$2:$N$501,"Approved")</f>
        <v/>
      </c>
    </row>
    <row r="144">
      <c r="A144" s="45">
        <f>A143+1</f>
        <v/>
      </c>
      <c r="B144">
        <f>COUNTIFS('All Payments'!$B$2:$B$501,A144,'All Payments'!$N$2:$N$501,"Approved")</f>
        <v/>
      </c>
      <c r="C144" s="47">
        <f>SUMIFS('All Payments'!$D$2:$D$501,'All Payments'!$B$2:$B$501,A144,'All Payments'!$N$2:$N$501,"Approved")</f>
        <v/>
      </c>
    </row>
    <row r="145">
      <c r="A145" s="45">
        <f>A144+1</f>
        <v/>
      </c>
      <c r="B145">
        <f>COUNTIFS('All Payments'!$B$2:$B$501,A145,'All Payments'!$N$2:$N$501,"Approved")</f>
        <v/>
      </c>
      <c r="C145" s="47">
        <f>SUMIFS('All Payments'!$D$2:$D$501,'All Payments'!$B$2:$B$501,A145,'All Payments'!$N$2:$N$501,"Approved")</f>
        <v/>
      </c>
    </row>
    <row r="146">
      <c r="A146" s="45">
        <f>A145+1</f>
        <v/>
      </c>
      <c r="B146">
        <f>COUNTIFS('All Payments'!$B$2:$B$501,A146,'All Payments'!$N$2:$N$501,"Approved")</f>
        <v/>
      </c>
      <c r="C146" s="47">
        <f>SUMIFS('All Payments'!$D$2:$D$501,'All Payments'!$B$2:$B$501,A146,'All Payments'!$N$2:$N$501,"Approved")</f>
        <v/>
      </c>
    </row>
    <row r="147">
      <c r="A147" s="45">
        <f>A146+1</f>
        <v/>
      </c>
      <c r="B147">
        <f>COUNTIFS('All Payments'!$B$2:$B$501,A147,'All Payments'!$N$2:$N$501,"Approved")</f>
        <v/>
      </c>
      <c r="C147" s="47">
        <f>SUMIFS('All Payments'!$D$2:$D$501,'All Payments'!$B$2:$B$501,A147,'All Payments'!$N$2:$N$501,"Approved")</f>
        <v/>
      </c>
    </row>
    <row r="148">
      <c r="A148" s="45">
        <f>A147+1</f>
        <v/>
      </c>
      <c r="B148">
        <f>COUNTIFS('All Payments'!$B$2:$B$501,A148,'All Payments'!$N$2:$N$501,"Approved")</f>
        <v/>
      </c>
      <c r="C148" s="47">
        <f>SUMIFS('All Payments'!$D$2:$D$501,'All Payments'!$B$2:$B$501,A148,'All Payments'!$N$2:$N$501,"Approved")</f>
        <v/>
      </c>
    </row>
    <row r="149">
      <c r="A149" s="45">
        <f>A148+1</f>
        <v/>
      </c>
      <c r="B149">
        <f>COUNTIFS('All Payments'!$B$2:$B$501,A149,'All Payments'!$N$2:$N$501,"Approved")</f>
        <v/>
      </c>
      <c r="C149" s="47">
        <f>SUMIFS('All Payments'!$D$2:$D$501,'All Payments'!$B$2:$B$501,A149,'All Payments'!$N$2:$N$501,"Approved")</f>
        <v/>
      </c>
    </row>
    <row r="150">
      <c r="A150" s="45">
        <f>A149+1</f>
        <v/>
      </c>
      <c r="B150">
        <f>COUNTIFS('All Payments'!$B$2:$B$501,A150,'All Payments'!$N$2:$N$501,"Approved")</f>
        <v/>
      </c>
      <c r="C150" s="47">
        <f>SUMIFS('All Payments'!$D$2:$D$501,'All Payments'!$B$2:$B$501,A150,'All Payments'!$N$2:$N$501,"Approved")</f>
        <v/>
      </c>
    </row>
    <row r="151">
      <c r="A151" s="45">
        <f>A150+1</f>
        <v/>
      </c>
      <c r="B151">
        <f>COUNTIFS('All Payments'!$B$2:$B$501,A151,'All Payments'!$N$2:$N$501,"Approved")</f>
        <v/>
      </c>
      <c r="C151" s="47">
        <f>SUMIFS('All Payments'!$D$2:$D$501,'All Payments'!$B$2:$B$501,A151,'All Payments'!$N$2:$N$501,"Approved")</f>
        <v/>
      </c>
    </row>
    <row r="152">
      <c r="A152" s="45">
        <f>A151+1</f>
        <v/>
      </c>
      <c r="B152">
        <f>COUNTIFS('All Payments'!$B$2:$B$501,A152,'All Payments'!$N$2:$N$501,"Approved")</f>
        <v/>
      </c>
      <c r="C152" s="47">
        <f>SUMIFS('All Payments'!$D$2:$D$501,'All Payments'!$B$2:$B$501,A152,'All Payments'!$N$2:$N$501,"Approved")</f>
        <v/>
      </c>
    </row>
    <row r="153">
      <c r="A153" s="45">
        <f>A152+1</f>
        <v/>
      </c>
      <c r="B153">
        <f>COUNTIFS('All Payments'!$B$2:$B$501,A153,'All Payments'!$N$2:$N$501,"Approved")</f>
        <v/>
      </c>
      <c r="C153" s="47">
        <f>SUMIFS('All Payments'!$D$2:$D$501,'All Payments'!$B$2:$B$501,A153,'All Payments'!$N$2:$N$501,"Approved")</f>
        <v/>
      </c>
    </row>
    <row r="154">
      <c r="A154" s="45">
        <f>A153+1</f>
        <v/>
      </c>
      <c r="B154">
        <f>COUNTIFS('All Payments'!$B$2:$B$501,A154,'All Payments'!$N$2:$N$501,"Approved")</f>
        <v/>
      </c>
      <c r="C154" s="47">
        <f>SUMIFS('All Payments'!$D$2:$D$501,'All Payments'!$B$2:$B$501,A154,'All Payments'!$N$2:$N$501,"Approved")</f>
        <v/>
      </c>
    </row>
    <row r="155">
      <c r="A155" s="45">
        <f>A154+1</f>
        <v/>
      </c>
      <c r="B155">
        <f>COUNTIFS('All Payments'!$B$2:$B$501,A155,'All Payments'!$N$2:$N$501,"Approved")</f>
        <v/>
      </c>
      <c r="C155" s="47">
        <f>SUMIFS('All Payments'!$D$2:$D$501,'All Payments'!$B$2:$B$501,A155,'All Payments'!$N$2:$N$501,"Approved")</f>
        <v/>
      </c>
    </row>
    <row r="156">
      <c r="A156" s="45">
        <f>A155+1</f>
        <v/>
      </c>
      <c r="B156">
        <f>COUNTIFS('All Payments'!$B$2:$B$501,A156,'All Payments'!$N$2:$N$501,"Approved")</f>
        <v/>
      </c>
      <c r="C156" s="47">
        <f>SUMIFS('All Payments'!$D$2:$D$501,'All Payments'!$B$2:$B$501,A156,'All Payments'!$N$2:$N$501,"Approved")</f>
        <v/>
      </c>
    </row>
    <row r="157">
      <c r="A157" s="45">
        <f>A156+1</f>
        <v/>
      </c>
      <c r="B157">
        <f>COUNTIFS('All Payments'!$B$2:$B$501,A157,'All Payments'!$N$2:$N$501,"Approved")</f>
        <v/>
      </c>
      <c r="C157" s="47">
        <f>SUMIFS('All Payments'!$D$2:$D$501,'All Payments'!$B$2:$B$501,A157,'All Payments'!$N$2:$N$501,"Approved")</f>
        <v/>
      </c>
    </row>
    <row r="158">
      <c r="A158" s="45">
        <f>A157+1</f>
        <v/>
      </c>
      <c r="B158">
        <f>COUNTIFS('All Payments'!$B$2:$B$501,A158,'All Payments'!$N$2:$N$501,"Approved")</f>
        <v/>
      </c>
      <c r="C158" s="47">
        <f>SUMIFS('All Payments'!$D$2:$D$501,'All Payments'!$B$2:$B$501,A158,'All Payments'!$N$2:$N$501,"Approved")</f>
        <v/>
      </c>
    </row>
    <row r="159">
      <c r="A159" s="45">
        <f>A158+1</f>
        <v/>
      </c>
      <c r="B159">
        <f>COUNTIFS('All Payments'!$B$2:$B$501,A159,'All Payments'!$N$2:$N$501,"Approved")</f>
        <v/>
      </c>
      <c r="C159" s="47">
        <f>SUMIFS('All Payments'!$D$2:$D$501,'All Payments'!$B$2:$B$501,A159,'All Payments'!$N$2:$N$501,"Approved")</f>
        <v/>
      </c>
    </row>
    <row r="160">
      <c r="A160" s="45">
        <f>A159+1</f>
        <v/>
      </c>
      <c r="B160">
        <f>COUNTIFS('All Payments'!$B$2:$B$501,A160,'All Payments'!$N$2:$N$501,"Approved")</f>
        <v/>
      </c>
      <c r="C160" s="47">
        <f>SUMIFS('All Payments'!$D$2:$D$501,'All Payments'!$B$2:$B$501,A160,'All Payments'!$N$2:$N$501,"Approved")</f>
        <v/>
      </c>
    </row>
    <row r="161">
      <c r="A161" s="45">
        <f>A160+1</f>
        <v/>
      </c>
      <c r="B161">
        <f>COUNTIFS('All Payments'!$B$2:$B$501,A161,'All Payments'!$N$2:$N$501,"Approved")</f>
        <v/>
      </c>
      <c r="C161" s="47">
        <f>SUMIFS('All Payments'!$D$2:$D$501,'All Payments'!$B$2:$B$501,A161,'All Payments'!$N$2:$N$501,"Approved")</f>
        <v/>
      </c>
    </row>
    <row r="162">
      <c r="A162" s="45">
        <f>A161+1</f>
        <v/>
      </c>
      <c r="B162">
        <f>COUNTIFS('All Payments'!$B$2:$B$501,A162,'All Payments'!$N$2:$N$501,"Approved")</f>
        <v/>
      </c>
      <c r="C162" s="47">
        <f>SUMIFS('All Payments'!$D$2:$D$501,'All Payments'!$B$2:$B$501,A162,'All Payments'!$N$2:$N$501,"Approved")</f>
        <v/>
      </c>
    </row>
    <row r="163">
      <c r="A163" s="45">
        <f>A162+1</f>
        <v/>
      </c>
      <c r="B163">
        <f>COUNTIFS('All Payments'!$B$2:$B$501,A163,'All Payments'!$N$2:$N$501,"Approved")</f>
        <v/>
      </c>
      <c r="C163" s="47">
        <f>SUMIFS('All Payments'!$D$2:$D$501,'All Payments'!$B$2:$B$501,A163,'All Payments'!$N$2:$N$501,"Approved")</f>
        <v/>
      </c>
    </row>
    <row r="164">
      <c r="A164" s="45">
        <f>A163+1</f>
        <v/>
      </c>
      <c r="B164">
        <f>COUNTIFS('All Payments'!$B$2:$B$501,A164,'All Payments'!$N$2:$N$501,"Approved")</f>
        <v/>
      </c>
      <c r="C164" s="47">
        <f>SUMIFS('All Payments'!$D$2:$D$501,'All Payments'!$B$2:$B$501,A164,'All Payments'!$N$2:$N$501,"Approved")</f>
        <v/>
      </c>
    </row>
    <row r="165">
      <c r="A165" s="45">
        <f>A164+1</f>
        <v/>
      </c>
      <c r="B165">
        <f>COUNTIFS('All Payments'!$B$2:$B$501,A165,'All Payments'!$N$2:$N$501,"Approved")</f>
        <v/>
      </c>
      <c r="C165" s="47">
        <f>SUMIFS('All Payments'!$D$2:$D$501,'All Payments'!$B$2:$B$501,A165,'All Payments'!$N$2:$N$501,"Approved")</f>
        <v/>
      </c>
    </row>
    <row r="166">
      <c r="A166" s="45">
        <f>A165+1</f>
        <v/>
      </c>
      <c r="B166">
        <f>COUNTIFS('All Payments'!$B$2:$B$501,A166,'All Payments'!$N$2:$N$501,"Approved")</f>
        <v/>
      </c>
      <c r="C166" s="47">
        <f>SUMIFS('All Payments'!$D$2:$D$501,'All Payments'!$B$2:$B$501,A166,'All Payments'!$N$2:$N$501,"Approved")</f>
        <v/>
      </c>
    </row>
    <row r="167">
      <c r="A167" s="45">
        <f>A166+1</f>
        <v/>
      </c>
      <c r="B167">
        <f>COUNTIFS('All Payments'!$B$2:$B$501,A167,'All Payments'!$N$2:$N$501,"Approved")</f>
        <v/>
      </c>
      <c r="C167" s="47">
        <f>SUMIFS('All Payments'!$D$2:$D$501,'All Payments'!$B$2:$B$501,A167,'All Payments'!$N$2:$N$501,"Approved")</f>
        <v/>
      </c>
    </row>
    <row r="168">
      <c r="A168" s="45">
        <f>A167+1</f>
        <v/>
      </c>
      <c r="B168">
        <f>COUNTIFS('All Payments'!$B$2:$B$501,A168,'All Payments'!$N$2:$N$501,"Approved")</f>
        <v/>
      </c>
      <c r="C168" s="47">
        <f>SUMIFS('All Payments'!$D$2:$D$501,'All Payments'!$B$2:$B$501,A168,'All Payments'!$N$2:$N$501,"Approved")</f>
        <v/>
      </c>
    </row>
    <row r="169">
      <c r="A169" s="45">
        <f>A168+1</f>
        <v/>
      </c>
      <c r="B169">
        <f>COUNTIFS('All Payments'!$B$2:$B$501,A169,'All Payments'!$N$2:$N$501,"Approved")</f>
        <v/>
      </c>
      <c r="C169" s="47">
        <f>SUMIFS('All Payments'!$D$2:$D$501,'All Payments'!$B$2:$B$501,A169,'All Payments'!$N$2:$N$501,"Approved")</f>
        <v/>
      </c>
    </row>
    <row r="170">
      <c r="A170" s="45">
        <f>A169+1</f>
        <v/>
      </c>
      <c r="B170">
        <f>COUNTIFS('All Payments'!$B$2:$B$501,A170,'All Payments'!$N$2:$N$501,"Approved")</f>
        <v/>
      </c>
      <c r="C170" s="47">
        <f>SUMIFS('All Payments'!$D$2:$D$501,'All Payments'!$B$2:$B$501,A170,'All Payments'!$N$2:$N$501,"Approved")</f>
        <v/>
      </c>
    </row>
    <row r="171">
      <c r="A171" s="45">
        <f>A170+1</f>
        <v/>
      </c>
      <c r="B171">
        <f>COUNTIFS('All Payments'!$B$2:$B$501,A171,'All Payments'!$N$2:$N$501,"Approved")</f>
        <v/>
      </c>
      <c r="C171" s="47">
        <f>SUMIFS('All Payments'!$D$2:$D$501,'All Payments'!$B$2:$B$501,A171,'All Payments'!$N$2:$N$501,"Approved")</f>
        <v/>
      </c>
    </row>
    <row r="172">
      <c r="A172" s="45">
        <f>A171+1</f>
        <v/>
      </c>
      <c r="B172">
        <f>COUNTIFS('All Payments'!$B$2:$B$501,A172,'All Payments'!$N$2:$N$501,"Approved")</f>
        <v/>
      </c>
      <c r="C172" s="47">
        <f>SUMIFS('All Payments'!$D$2:$D$501,'All Payments'!$B$2:$B$501,A172,'All Payments'!$N$2:$N$501,"Approved")</f>
        <v/>
      </c>
    </row>
    <row r="173">
      <c r="A173" s="45">
        <f>A172+1</f>
        <v/>
      </c>
      <c r="B173">
        <f>COUNTIFS('All Payments'!$B$2:$B$501,A173,'All Payments'!$N$2:$N$501,"Approved")</f>
        <v/>
      </c>
      <c r="C173" s="47">
        <f>SUMIFS('All Payments'!$D$2:$D$501,'All Payments'!$B$2:$B$501,A173,'All Payments'!$N$2:$N$501,"Approved")</f>
        <v/>
      </c>
    </row>
    <row r="174">
      <c r="A174" s="45">
        <f>A173+1</f>
        <v/>
      </c>
      <c r="B174">
        <f>COUNTIFS('All Payments'!$B$2:$B$501,A174,'All Payments'!$N$2:$N$501,"Approved")</f>
        <v/>
      </c>
      <c r="C174" s="47">
        <f>SUMIFS('All Payments'!$D$2:$D$501,'All Payments'!$B$2:$B$501,A174,'All Payments'!$N$2:$N$501,"Approved")</f>
        <v/>
      </c>
    </row>
    <row r="175">
      <c r="A175" s="45">
        <f>A174+1</f>
        <v/>
      </c>
      <c r="B175">
        <f>COUNTIFS('All Payments'!$B$2:$B$501,A175,'All Payments'!$N$2:$N$501,"Approved")</f>
        <v/>
      </c>
      <c r="C175" s="47">
        <f>SUMIFS('All Payments'!$D$2:$D$501,'All Payments'!$B$2:$B$501,A175,'All Payments'!$N$2:$N$501,"Approved")</f>
        <v/>
      </c>
    </row>
    <row r="176">
      <c r="A176" s="45">
        <f>A175+1</f>
        <v/>
      </c>
      <c r="B176">
        <f>COUNTIFS('All Payments'!$B$2:$B$501,A176,'All Payments'!$N$2:$N$501,"Approved")</f>
        <v/>
      </c>
      <c r="C176" s="47">
        <f>SUMIFS('All Payments'!$D$2:$D$501,'All Payments'!$B$2:$B$501,A176,'All Payments'!$N$2:$N$501,"Approved")</f>
        <v/>
      </c>
    </row>
    <row r="177">
      <c r="A177" s="45">
        <f>A176+1</f>
        <v/>
      </c>
      <c r="B177">
        <f>COUNTIFS('All Payments'!$B$2:$B$501,A177,'All Payments'!$N$2:$N$501,"Approved")</f>
        <v/>
      </c>
      <c r="C177" s="47">
        <f>SUMIFS('All Payments'!$D$2:$D$501,'All Payments'!$B$2:$B$501,A177,'All Payments'!$N$2:$N$501,"Approved")</f>
        <v/>
      </c>
    </row>
    <row r="178">
      <c r="A178" s="45">
        <f>A177+1</f>
        <v/>
      </c>
      <c r="B178">
        <f>COUNTIFS('All Payments'!$B$2:$B$501,A178,'All Payments'!$N$2:$N$501,"Approved")</f>
        <v/>
      </c>
      <c r="C178" s="47">
        <f>SUMIFS('All Payments'!$D$2:$D$501,'All Payments'!$B$2:$B$501,A178,'All Payments'!$N$2:$N$501,"Approved")</f>
        <v/>
      </c>
    </row>
    <row r="179">
      <c r="A179" s="45">
        <f>A178+1</f>
        <v/>
      </c>
      <c r="B179">
        <f>COUNTIFS('All Payments'!$B$2:$B$501,A179,'All Payments'!$N$2:$N$501,"Approved")</f>
        <v/>
      </c>
      <c r="C179" s="47">
        <f>SUMIFS('All Payments'!$D$2:$D$501,'All Payments'!$B$2:$B$501,A179,'All Payments'!$N$2:$N$501,"Approved")</f>
        <v/>
      </c>
    </row>
    <row r="180">
      <c r="A180" s="45">
        <f>A179+1</f>
        <v/>
      </c>
      <c r="B180">
        <f>COUNTIFS('All Payments'!$B$2:$B$501,A180,'All Payments'!$N$2:$N$501,"Approved")</f>
        <v/>
      </c>
      <c r="C180" s="47">
        <f>SUMIFS('All Payments'!$D$2:$D$501,'All Payments'!$B$2:$B$501,A180,'All Payments'!$N$2:$N$501,"Approved")</f>
        <v/>
      </c>
    </row>
    <row r="181">
      <c r="A181" s="45">
        <f>A180+1</f>
        <v/>
      </c>
      <c r="B181">
        <f>COUNTIFS('All Payments'!$B$2:$B$501,A181,'All Payments'!$N$2:$N$501,"Approved")</f>
        <v/>
      </c>
      <c r="C181" s="47">
        <f>SUMIFS('All Payments'!$D$2:$D$501,'All Payments'!$B$2:$B$501,A181,'All Payments'!$N$2:$N$501,"Approved")</f>
        <v/>
      </c>
    </row>
    <row r="182">
      <c r="A182" s="45">
        <f>A181+1</f>
        <v/>
      </c>
      <c r="B182">
        <f>COUNTIFS('All Payments'!$B$2:$B$501,A182,'All Payments'!$N$2:$N$501,"Approved")</f>
        <v/>
      </c>
      <c r="C182" s="47">
        <f>SUMIFS('All Payments'!$D$2:$D$501,'All Payments'!$B$2:$B$501,A182,'All Payments'!$N$2:$N$501,"Approved")</f>
        <v/>
      </c>
    </row>
    <row r="183">
      <c r="A183" s="45">
        <f>A182+1</f>
        <v/>
      </c>
      <c r="B183">
        <f>COUNTIFS('All Payments'!$B$2:$B$501,A183,'All Payments'!$N$2:$N$501,"Approved")</f>
        <v/>
      </c>
      <c r="C183" s="47">
        <f>SUMIFS('All Payments'!$D$2:$D$501,'All Payments'!$B$2:$B$501,A183,'All Payments'!$N$2:$N$501,"Approved")</f>
        <v/>
      </c>
    </row>
    <row r="184">
      <c r="A184" s="45">
        <f>A183+1</f>
        <v/>
      </c>
      <c r="B184">
        <f>COUNTIFS('All Payments'!$B$2:$B$501,A184,'All Payments'!$N$2:$N$501,"Approved")</f>
        <v/>
      </c>
      <c r="C184" s="47">
        <f>SUMIFS('All Payments'!$D$2:$D$501,'All Payments'!$B$2:$B$501,A184,'All Payments'!$N$2:$N$501,"Approved")</f>
        <v/>
      </c>
    </row>
    <row r="185">
      <c r="A185" s="45">
        <f>A184+1</f>
        <v/>
      </c>
      <c r="B185">
        <f>COUNTIFS('All Payments'!$B$2:$B$501,A185,'All Payments'!$N$2:$N$501,"Approved")</f>
        <v/>
      </c>
      <c r="C185" s="47">
        <f>SUMIFS('All Payments'!$D$2:$D$501,'All Payments'!$B$2:$B$501,A185,'All Payments'!$N$2:$N$501,"Approved")</f>
        <v/>
      </c>
    </row>
    <row r="186">
      <c r="A186" s="45">
        <f>A185+1</f>
        <v/>
      </c>
      <c r="B186">
        <f>COUNTIFS('All Payments'!$B$2:$B$501,A186,'All Payments'!$N$2:$N$501,"Approved")</f>
        <v/>
      </c>
      <c r="C186" s="47">
        <f>SUMIFS('All Payments'!$D$2:$D$501,'All Payments'!$B$2:$B$501,A186,'All Payments'!$N$2:$N$501,"Approved")</f>
        <v/>
      </c>
    </row>
    <row r="187">
      <c r="A187" s="45">
        <f>A186+1</f>
        <v/>
      </c>
      <c r="B187">
        <f>COUNTIFS('All Payments'!$B$2:$B$501,A187,'All Payments'!$N$2:$N$501,"Approved")</f>
        <v/>
      </c>
      <c r="C187" s="47">
        <f>SUMIFS('All Payments'!$D$2:$D$501,'All Payments'!$B$2:$B$501,A187,'All Payments'!$N$2:$N$501,"Approved")</f>
        <v/>
      </c>
    </row>
    <row r="188">
      <c r="A188" s="45">
        <f>A187+1</f>
        <v/>
      </c>
      <c r="B188">
        <f>COUNTIFS('All Payments'!$B$2:$B$501,A188,'All Payments'!$N$2:$N$501,"Approved")</f>
        <v/>
      </c>
      <c r="C188" s="47">
        <f>SUMIFS('All Payments'!$D$2:$D$501,'All Payments'!$B$2:$B$501,A188,'All Payments'!$N$2:$N$501,"Approved")</f>
        <v/>
      </c>
    </row>
    <row r="189">
      <c r="A189" s="45">
        <f>A188+1</f>
        <v/>
      </c>
      <c r="B189">
        <f>COUNTIFS('All Payments'!$B$2:$B$501,A189,'All Payments'!$N$2:$N$501,"Approved")</f>
        <v/>
      </c>
      <c r="C189" s="47">
        <f>SUMIFS('All Payments'!$D$2:$D$501,'All Payments'!$B$2:$B$501,A189,'All Payments'!$N$2:$N$501,"Approved")</f>
        <v/>
      </c>
    </row>
    <row r="190">
      <c r="A190" s="45">
        <f>A189+1</f>
        <v/>
      </c>
      <c r="B190">
        <f>COUNTIFS('All Payments'!$B$2:$B$501,A190,'All Payments'!$N$2:$N$501,"Approved")</f>
        <v/>
      </c>
      <c r="C190" s="47">
        <f>SUMIFS('All Payments'!$D$2:$D$501,'All Payments'!$B$2:$B$501,A190,'All Payments'!$N$2:$N$501,"Approved")</f>
        <v/>
      </c>
    </row>
    <row r="191">
      <c r="A191" s="45">
        <f>A190+1</f>
        <v/>
      </c>
      <c r="B191">
        <f>COUNTIFS('All Payments'!$B$2:$B$501,A191,'All Payments'!$N$2:$N$501,"Approved")</f>
        <v/>
      </c>
      <c r="C191" s="47">
        <f>SUMIFS('All Payments'!$D$2:$D$501,'All Payments'!$B$2:$B$501,A191,'All Payments'!$N$2:$N$501,"Approved")</f>
        <v/>
      </c>
    </row>
    <row r="192">
      <c r="A192" s="45">
        <f>A191+1</f>
        <v/>
      </c>
      <c r="B192">
        <f>COUNTIFS('All Payments'!$B$2:$B$501,A192,'All Payments'!$N$2:$N$501,"Approved")</f>
        <v/>
      </c>
      <c r="C192" s="47">
        <f>SUMIFS('All Payments'!$D$2:$D$501,'All Payments'!$B$2:$B$501,A192,'All Payments'!$N$2:$N$501,"Approved")</f>
        <v/>
      </c>
    </row>
    <row r="193">
      <c r="A193" s="45">
        <f>A192+1</f>
        <v/>
      </c>
      <c r="B193">
        <f>COUNTIFS('All Payments'!$B$2:$B$501,A193,'All Payments'!$N$2:$N$501,"Approved")</f>
        <v/>
      </c>
      <c r="C193" s="47">
        <f>SUMIFS('All Payments'!$D$2:$D$501,'All Payments'!$B$2:$B$501,A193,'All Payments'!$N$2:$N$501,"Approved")</f>
        <v/>
      </c>
    </row>
    <row r="194">
      <c r="A194" s="45">
        <f>A193+1</f>
        <v/>
      </c>
      <c r="B194">
        <f>COUNTIFS('All Payments'!$B$2:$B$501,A194,'All Payments'!$N$2:$N$501,"Approved")</f>
        <v/>
      </c>
      <c r="C194" s="47">
        <f>SUMIFS('All Payments'!$D$2:$D$501,'All Payments'!$B$2:$B$501,A194,'All Payments'!$N$2:$N$501,"Approved")</f>
        <v/>
      </c>
    </row>
    <row r="195">
      <c r="A195" s="45">
        <f>A194+1</f>
        <v/>
      </c>
      <c r="B195">
        <f>COUNTIFS('All Payments'!$B$2:$B$501,A195,'All Payments'!$N$2:$N$501,"Approved")</f>
        <v/>
      </c>
      <c r="C195" s="47">
        <f>SUMIFS('All Payments'!$D$2:$D$501,'All Payments'!$B$2:$B$501,A195,'All Payments'!$N$2:$N$501,"Approved")</f>
        <v/>
      </c>
    </row>
    <row r="196">
      <c r="A196" s="45">
        <f>A195+1</f>
        <v/>
      </c>
      <c r="B196">
        <f>COUNTIFS('All Payments'!$B$2:$B$501,A196,'All Payments'!$N$2:$N$501,"Approved")</f>
        <v/>
      </c>
      <c r="C196" s="47">
        <f>SUMIFS('All Payments'!$D$2:$D$501,'All Payments'!$B$2:$B$501,A196,'All Payments'!$N$2:$N$501,"Approved")</f>
        <v/>
      </c>
    </row>
    <row r="197">
      <c r="A197" s="45">
        <f>A196+1</f>
        <v/>
      </c>
      <c r="B197">
        <f>COUNTIFS('All Payments'!$B$2:$B$501,A197,'All Payments'!$N$2:$N$501,"Approved")</f>
        <v/>
      </c>
      <c r="C197" s="47">
        <f>SUMIFS('All Payments'!$D$2:$D$501,'All Payments'!$B$2:$B$501,A197,'All Payments'!$N$2:$N$501,"Approved")</f>
        <v/>
      </c>
    </row>
    <row r="198">
      <c r="A198" s="45">
        <f>A197+1</f>
        <v/>
      </c>
      <c r="B198">
        <f>COUNTIFS('All Payments'!$B$2:$B$501,A198,'All Payments'!$N$2:$N$501,"Approved")</f>
        <v/>
      </c>
      <c r="C198" s="47">
        <f>SUMIFS('All Payments'!$D$2:$D$501,'All Payments'!$B$2:$B$501,A198,'All Payments'!$N$2:$N$501,"Approved")</f>
        <v/>
      </c>
    </row>
    <row r="199">
      <c r="A199" s="45">
        <f>A198+1</f>
        <v/>
      </c>
      <c r="B199">
        <f>COUNTIFS('All Payments'!$B$2:$B$501,A199,'All Payments'!$N$2:$N$501,"Approved")</f>
        <v/>
      </c>
      <c r="C199" s="47">
        <f>SUMIFS('All Payments'!$D$2:$D$501,'All Payments'!$B$2:$B$501,A199,'All Payments'!$N$2:$N$501,"Approved")</f>
        <v/>
      </c>
    </row>
    <row r="200">
      <c r="A200" s="45">
        <f>A199+1</f>
        <v/>
      </c>
      <c r="B200">
        <f>COUNTIFS('All Payments'!$B$2:$B$501,A200,'All Payments'!$N$2:$N$501,"Approved")</f>
        <v/>
      </c>
      <c r="C200" s="47">
        <f>SUMIFS('All Payments'!$D$2:$D$501,'All Payments'!$B$2:$B$501,A200,'All Payments'!$N$2:$N$501,"Approved")</f>
        <v/>
      </c>
    </row>
    <row r="201">
      <c r="A201" s="45">
        <f>A200+1</f>
        <v/>
      </c>
      <c r="B201">
        <f>COUNTIFS('All Payments'!$B$2:$B$501,A201,'All Payments'!$N$2:$N$501,"Approved")</f>
        <v/>
      </c>
      <c r="C201" s="47">
        <f>SUMIFS('All Payments'!$D$2:$D$501,'All Payments'!$B$2:$B$501,A201,'All Payments'!$N$2:$N$501,"Approved")</f>
        <v/>
      </c>
    </row>
    <row r="202">
      <c r="A202" s="45">
        <f>A201+1</f>
        <v/>
      </c>
      <c r="B202">
        <f>COUNTIFS('All Payments'!$B$2:$B$501,A202,'All Payments'!$N$2:$N$501,"Approved")</f>
        <v/>
      </c>
      <c r="C202" s="47">
        <f>SUMIFS('All Payments'!$D$2:$D$501,'All Payments'!$B$2:$B$501,A202,'All Payments'!$N$2:$N$501,"Approved")</f>
        <v/>
      </c>
    </row>
    <row r="203">
      <c r="A203" s="45">
        <f>A202+1</f>
        <v/>
      </c>
      <c r="B203">
        <f>COUNTIFS('All Payments'!$B$2:$B$501,A203,'All Payments'!$N$2:$N$501,"Approved")</f>
        <v/>
      </c>
      <c r="C203" s="47">
        <f>SUMIFS('All Payments'!$D$2:$D$501,'All Payments'!$B$2:$B$501,A203,'All Payments'!$N$2:$N$501,"Approved")</f>
        <v/>
      </c>
    </row>
    <row r="204">
      <c r="A204" s="45">
        <f>A203+1</f>
        <v/>
      </c>
      <c r="B204">
        <f>COUNTIFS('All Payments'!$B$2:$B$501,A204,'All Payments'!$N$2:$N$501,"Approved")</f>
        <v/>
      </c>
      <c r="C204" s="47">
        <f>SUMIFS('All Payments'!$D$2:$D$501,'All Payments'!$B$2:$B$501,A204,'All Payments'!$N$2:$N$501,"Approved")</f>
        <v/>
      </c>
    </row>
    <row r="205">
      <c r="A205" s="45">
        <f>A204+1</f>
        <v/>
      </c>
      <c r="B205">
        <f>COUNTIFS('All Payments'!$B$2:$B$501,A205,'All Payments'!$N$2:$N$501,"Approved")</f>
        <v/>
      </c>
      <c r="C205" s="47">
        <f>SUMIFS('All Payments'!$D$2:$D$501,'All Payments'!$B$2:$B$501,A205,'All Payments'!$N$2:$N$501,"Approved")</f>
        <v/>
      </c>
    </row>
    <row r="206">
      <c r="A206" s="45">
        <f>A205+1</f>
        <v/>
      </c>
      <c r="B206">
        <f>COUNTIFS('All Payments'!$B$2:$B$501,A206,'All Payments'!$N$2:$N$501,"Approved")</f>
        <v/>
      </c>
      <c r="C206" s="47">
        <f>SUMIFS('All Payments'!$D$2:$D$501,'All Payments'!$B$2:$B$501,A206,'All Payments'!$N$2:$N$501,"Approved")</f>
        <v/>
      </c>
    </row>
    <row r="207">
      <c r="A207" s="45">
        <f>A206+1</f>
        <v/>
      </c>
      <c r="B207">
        <f>COUNTIFS('All Payments'!$B$2:$B$501,A207,'All Payments'!$N$2:$N$501,"Approved")</f>
        <v/>
      </c>
      <c r="C207" s="47">
        <f>SUMIFS('All Payments'!$D$2:$D$501,'All Payments'!$B$2:$B$501,A207,'All Payments'!$N$2:$N$501,"Approved")</f>
        <v/>
      </c>
    </row>
    <row r="208">
      <c r="A208" s="45">
        <f>A207+1</f>
        <v/>
      </c>
      <c r="B208">
        <f>COUNTIFS('All Payments'!$B$2:$B$501,A208,'All Payments'!$N$2:$N$501,"Approved")</f>
        <v/>
      </c>
      <c r="C208" s="47">
        <f>SUMIFS('All Payments'!$D$2:$D$501,'All Payments'!$B$2:$B$501,A208,'All Payments'!$N$2:$N$501,"Approved")</f>
        <v/>
      </c>
    </row>
    <row r="209">
      <c r="A209" s="45">
        <f>A208+1</f>
        <v/>
      </c>
      <c r="B209">
        <f>COUNTIFS('All Payments'!$B$2:$B$501,A209,'All Payments'!$N$2:$N$501,"Approved")</f>
        <v/>
      </c>
      <c r="C209" s="47">
        <f>SUMIFS('All Payments'!$D$2:$D$501,'All Payments'!$B$2:$B$501,A209,'All Payments'!$N$2:$N$501,"Approved")</f>
        <v/>
      </c>
    </row>
    <row r="210">
      <c r="A210" s="45">
        <f>A209+1</f>
        <v/>
      </c>
      <c r="B210">
        <f>COUNTIFS('All Payments'!$B$2:$B$501,A210,'All Payments'!$N$2:$N$501,"Approved")</f>
        <v/>
      </c>
      <c r="C210" s="47">
        <f>SUMIFS('All Payments'!$D$2:$D$501,'All Payments'!$B$2:$B$501,A210,'All Payments'!$N$2:$N$501,"Approved")</f>
        <v/>
      </c>
    </row>
    <row r="211">
      <c r="A211" s="45">
        <f>A210+1</f>
        <v/>
      </c>
      <c r="B211">
        <f>COUNTIFS('All Payments'!$B$2:$B$501,A211,'All Payments'!$N$2:$N$501,"Approved")</f>
        <v/>
      </c>
      <c r="C211" s="47">
        <f>SUMIFS('All Payments'!$D$2:$D$501,'All Payments'!$B$2:$B$501,A211,'All Payments'!$N$2:$N$501,"Approved")</f>
        <v/>
      </c>
    </row>
    <row r="212">
      <c r="A212" s="45">
        <f>A211+1</f>
        <v/>
      </c>
      <c r="B212">
        <f>COUNTIFS('All Payments'!$B$2:$B$501,A212,'All Payments'!$N$2:$N$501,"Approved")</f>
        <v/>
      </c>
      <c r="C212" s="47">
        <f>SUMIFS('All Payments'!$D$2:$D$501,'All Payments'!$B$2:$B$501,A212,'All Payments'!$N$2:$N$501,"Approved")</f>
        <v/>
      </c>
    </row>
    <row r="213">
      <c r="A213" s="45">
        <f>A212+1</f>
        <v/>
      </c>
      <c r="B213">
        <f>COUNTIFS('All Payments'!$B$2:$B$501,A213,'All Payments'!$N$2:$N$501,"Approved")</f>
        <v/>
      </c>
      <c r="C213" s="47">
        <f>SUMIFS('All Payments'!$D$2:$D$501,'All Payments'!$B$2:$B$501,A213,'All Payments'!$N$2:$N$501,"Approved")</f>
        <v/>
      </c>
    </row>
    <row r="214">
      <c r="A214" s="45">
        <f>A213+1</f>
        <v/>
      </c>
      <c r="B214">
        <f>COUNTIFS('All Payments'!$B$2:$B$501,A214,'All Payments'!$N$2:$N$501,"Approved")</f>
        <v/>
      </c>
      <c r="C214" s="47">
        <f>SUMIFS('All Payments'!$D$2:$D$501,'All Payments'!$B$2:$B$501,A214,'All Payments'!$N$2:$N$501,"Approved")</f>
        <v/>
      </c>
    </row>
    <row r="215">
      <c r="A215" s="45">
        <f>A214+1</f>
        <v/>
      </c>
      <c r="B215">
        <f>COUNTIFS('All Payments'!$B$2:$B$501,A215,'All Payments'!$N$2:$N$501,"Approved")</f>
        <v/>
      </c>
      <c r="C215" s="47">
        <f>SUMIFS('All Payments'!$D$2:$D$501,'All Payments'!$B$2:$B$501,A215,'All Payments'!$N$2:$N$501,"Approved")</f>
        <v/>
      </c>
    </row>
    <row r="216">
      <c r="A216" s="45">
        <f>A215+1</f>
        <v/>
      </c>
      <c r="B216">
        <f>COUNTIFS('All Payments'!$B$2:$B$501,A216,'All Payments'!$N$2:$N$501,"Approved")</f>
        <v/>
      </c>
      <c r="C216" s="47">
        <f>SUMIFS('All Payments'!$D$2:$D$501,'All Payments'!$B$2:$B$501,A216,'All Payments'!$N$2:$N$501,"Approved")</f>
        <v/>
      </c>
    </row>
    <row r="217">
      <c r="A217" s="45">
        <f>A216+1</f>
        <v/>
      </c>
      <c r="B217">
        <f>COUNTIFS('All Payments'!$B$2:$B$501,A217,'All Payments'!$N$2:$N$501,"Approved")</f>
        <v/>
      </c>
      <c r="C217" s="47">
        <f>SUMIFS('All Payments'!$D$2:$D$501,'All Payments'!$B$2:$B$501,A217,'All Payments'!$N$2:$N$501,"Approved")</f>
        <v/>
      </c>
    </row>
    <row r="218">
      <c r="A218" s="45">
        <f>A217+1</f>
        <v/>
      </c>
      <c r="B218">
        <f>COUNTIFS('All Payments'!$B$2:$B$501,A218,'All Payments'!$N$2:$N$501,"Approved")</f>
        <v/>
      </c>
      <c r="C218" s="47">
        <f>SUMIFS('All Payments'!$D$2:$D$501,'All Payments'!$B$2:$B$501,A218,'All Payments'!$N$2:$N$501,"Approved")</f>
        <v/>
      </c>
    </row>
    <row r="219">
      <c r="A219" s="45">
        <f>A218+1</f>
        <v/>
      </c>
      <c r="B219">
        <f>COUNTIFS('All Payments'!$B$2:$B$501,A219,'All Payments'!$N$2:$N$501,"Approved")</f>
        <v/>
      </c>
      <c r="C219" s="47">
        <f>SUMIFS('All Payments'!$D$2:$D$501,'All Payments'!$B$2:$B$501,A219,'All Payments'!$N$2:$N$501,"Approved")</f>
        <v/>
      </c>
    </row>
    <row r="220">
      <c r="A220" s="45">
        <f>A219+1</f>
        <v/>
      </c>
      <c r="B220">
        <f>COUNTIFS('All Payments'!$B$2:$B$501,A220,'All Payments'!$N$2:$N$501,"Approved")</f>
        <v/>
      </c>
      <c r="C220" s="47">
        <f>SUMIFS('All Payments'!$D$2:$D$501,'All Payments'!$B$2:$B$501,A220,'All Payments'!$N$2:$N$501,"Approved")</f>
        <v/>
      </c>
    </row>
    <row r="221">
      <c r="A221" s="45">
        <f>A220+1</f>
        <v/>
      </c>
      <c r="B221">
        <f>COUNTIFS('All Payments'!$B$2:$B$501,A221,'All Payments'!$N$2:$N$501,"Approved")</f>
        <v/>
      </c>
      <c r="C221" s="47">
        <f>SUMIFS('All Payments'!$D$2:$D$501,'All Payments'!$B$2:$B$501,A221,'All Payments'!$N$2:$N$501,"Approved")</f>
        <v/>
      </c>
    </row>
    <row r="222">
      <c r="A222" s="45">
        <f>A221+1</f>
        <v/>
      </c>
      <c r="B222">
        <f>COUNTIFS('All Payments'!$B$2:$B$501,A222,'All Payments'!$N$2:$N$501,"Approved")</f>
        <v/>
      </c>
      <c r="C222" s="47">
        <f>SUMIFS('All Payments'!$D$2:$D$501,'All Payments'!$B$2:$B$501,A222,'All Payments'!$N$2:$N$501,"Approved")</f>
        <v/>
      </c>
    </row>
    <row r="223">
      <c r="A223" s="45">
        <f>A222+1</f>
        <v/>
      </c>
      <c r="B223">
        <f>COUNTIFS('All Payments'!$B$2:$B$501,A223,'All Payments'!$N$2:$N$501,"Approved")</f>
        <v/>
      </c>
      <c r="C223" s="47">
        <f>SUMIFS('All Payments'!$D$2:$D$501,'All Payments'!$B$2:$B$501,A223,'All Payments'!$N$2:$N$501,"Approved")</f>
        <v/>
      </c>
    </row>
    <row r="224">
      <c r="A224" s="45">
        <f>A223+1</f>
        <v/>
      </c>
      <c r="B224">
        <f>COUNTIFS('All Payments'!$B$2:$B$501,A224,'All Payments'!$N$2:$N$501,"Approved")</f>
        <v/>
      </c>
      <c r="C224" s="47">
        <f>SUMIFS('All Payments'!$D$2:$D$501,'All Payments'!$B$2:$B$501,A224,'All Payments'!$N$2:$N$501,"Approved")</f>
        <v/>
      </c>
    </row>
    <row r="225">
      <c r="A225" s="45">
        <f>A224+1</f>
        <v/>
      </c>
      <c r="B225">
        <f>COUNTIFS('All Payments'!$B$2:$B$501,A225,'All Payments'!$N$2:$N$501,"Approved")</f>
        <v/>
      </c>
      <c r="C225" s="47">
        <f>SUMIFS('All Payments'!$D$2:$D$501,'All Payments'!$B$2:$B$501,A225,'All Payments'!$N$2:$N$501,"Approved")</f>
        <v/>
      </c>
    </row>
    <row r="226">
      <c r="A226" s="45">
        <f>A225+1</f>
        <v/>
      </c>
      <c r="B226">
        <f>COUNTIFS('All Payments'!$B$2:$B$501,A226,'All Payments'!$N$2:$N$501,"Approved")</f>
        <v/>
      </c>
      <c r="C226" s="47">
        <f>SUMIFS('All Payments'!$D$2:$D$501,'All Payments'!$B$2:$B$501,A226,'All Payments'!$N$2:$N$501,"Approved")</f>
        <v/>
      </c>
    </row>
    <row r="227">
      <c r="A227" s="45">
        <f>A226+1</f>
        <v/>
      </c>
      <c r="B227">
        <f>COUNTIFS('All Payments'!$B$2:$B$501,A227,'All Payments'!$N$2:$N$501,"Approved")</f>
        <v/>
      </c>
      <c r="C227" s="47">
        <f>SUMIFS('All Payments'!$D$2:$D$501,'All Payments'!$B$2:$B$501,A227,'All Payments'!$N$2:$N$501,"Approved")</f>
        <v/>
      </c>
    </row>
    <row r="228">
      <c r="A228" s="45">
        <f>A227+1</f>
        <v/>
      </c>
      <c r="B228">
        <f>COUNTIFS('All Payments'!$B$2:$B$501,A228,'All Payments'!$N$2:$N$501,"Approved")</f>
        <v/>
      </c>
      <c r="C228" s="47">
        <f>SUMIFS('All Payments'!$D$2:$D$501,'All Payments'!$B$2:$B$501,A228,'All Payments'!$N$2:$N$501,"Approved")</f>
        <v/>
      </c>
    </row>
    <row r="229">
      <c r="A229" s="45">
        <f>A228+1</f>
        <v/>
      </c>
      <c r="B229">
        <f>COUNTIFS('All Payments'!$B$2:$B$501,A229,'All Payments'!$N$2:$N$501,"Approved")</f>
        <v/>
      </c>
      <c r="C229" s="47">
        <f>SUMIFS('All Payments'!$D$2:$D$501,'All Payments'!$B$2:$B$501,A229,'All Payments'!$N$2:$N$501,"Approved")</f>
        <v/>
      </c>
    </row>
    <row r="230">
      <c r="A230" s="45">
        <f>A229+1</f>
        <v/>
      </c>
      <c r="B230">
        <f>COUNTIFS('All Payments'!$B$2:$B$501,A230,'All Payments'!$N$2:$N$501,"Approved")</f>
        <v/>
      </c>
      <c r="C230" s="47">
        <f>SUMIFS('All Payments'!$D$2:$D$501,'All Payments'!$B$2:$B$501,A230,'All Payments'!$N$2:$N$501,"Approved")</f>
        <v/>
      </c>
    </row>
    <row r="231">
      <c r="A231" s="45">
        <f>A230+1</f>
        <v/>
      </c>
      <c r="B231">
        <f>COUNTIFS('All Payments'!$B$2:$B$501,A231,'All Payments'!$N$2:$N$501,"Approved")</f>
        <v/>
      </c>
      <c r="C231" s="47">
        <f>SUMIFS('All Payments'!$D$2:$D$501,'All Payments'!$B$2:$B$501,A231,'All Payments'!$N$2:$N$501,"Approved")</f>
        <v/>
      </c>
    </row>
    <row r="232">
      <c r="A232" s="45">
        <f>A231+1</f>
        <v/>
      </c>
      <c r="B232">
        <f>COUNTIFS('All Payments'!$B$2:$B$501,A232,'All Payments'!$N$2:$N$501,"Approved")</f>
        <v/>
      </c>
      <c r="C232" s="47">
        <f>SUMIFS('All Payments'!$D$2:$D$501,'All Payments'!$B$2:$B$501,A232,'All Payments'!$N$2:$N$501,"Approved")</f>
        <v/>
      </c>
    </row>
    <row r="233">
      <c r="A233" s="45">
        <f>A232+1</f>
        <v/>
      </c>
      <c r="B233">
        <f>COUNTIFS('All Payments'!$B$2:$B$501,A233,'All Payments'!$N$2:$N$501,"Approved")</f>
        <v/>
      </c>
      <c r="C233" s="47">
        <f>SUMIFS('All Payments'!$D$2:$D$501,'All Payments'!$B$2:$B$501,A233,'All Payments'!$N$2:$N$501,"Approved")</f>
        <v/>
      </c>
    </row>
    <row r="234">
      <c r="A234" s="45">
        <f>A233+1</f>
        <v/>
      </c>
      <c r="B234">
        <f>COUNTIFS('All Payments'!$B$2:$B$501,A234,'All Payments'!$N$2:$N$501,"Approved")</f>
        <v/>
      </c>
      <c r="C234" s="47">
        <f>SUMIFS('All Payments'!$D$2:$D$501,'All Payments'!$B$2:$B$501,A234,'All Payments'!$N$2:$N$501,"Approved")</f>
        <v/>
      </c>
    </row>
    <row r="235">
      <c r="A235" s="45">
        <f>A234+1</f>
        <v/>
      </c>
      <c r="B235">
        <f>COUNTIFS('All Payments'!$B$2:$B$501,A235,'All Payments'!$N$2:$N$501,"Approved")</f>
        <v/>
      </c>
      <c r="C235" s="47">
        <f>SUMIFS('All Payments'!$D$2:$D$501,'All Payments'!$B$2:$B$501,A235,'All Payments'!$N$2:$N$501,"Approved")</f>
        <v/>
      </c>
    </row>
    <row r="236">
      <c r="A236" s="45">
        <f>A235+1</f>
        <v/>
      </c>
      <c r="B236">
        <f>COUNTIFS('All Payments'!$B$2:$B$501,A236,'All Payments'!$N$2:$N$501,"Approved")</f>
        <v/>
      </c>
      <c r="C236" s="47">
        <f>SUMIFS('All Payments'!$D$2:$D$501,'All Payments'!$B$2:$B$501,A236,'All Payments'!$N$2:$N$501,"Approved")</f>
        <v/>
      </c>
    </row>
    <row r="237">
      <c r="A237" s="45">
        <f>A236+1</f>
        <v/>
      </c>
      <c r="B237">
        <f>COUNTIFS('All Payments'!$B$2:$B$501,A237,'All Payments'!$N$2:$N$501,"Approved")</f>
        <v/>
      </c>
      <c r="C237" s="47">
        <f>SUMIFS('All Payments'!$D$2:$D$501,'All Payments'!$B$2:$B$501,A237,'All Payments'!$N$2:$N$501,"Approved")</f>
        <v/>
      </c>
    </row>
    <row r="238">
      <c r="A238" s="45">
        <f>A237+1</f>
        <v/>
      </c>
      <c r="B238">
        <f>COUNTIFS('All Payments'!$B$2:$B$501,A238,'All Payments'!$N$2:$N$501,"Approved")</f>
        <v/>
      </c>
      <c r="C238" s="47">
        <f>SUMIFS('All Payments'!$D$2:$D$501,'All Payments'!$B$2:$B$501,A238,'All Payments'!$N$2:$N$501,"Approved")</f>
        <v/>
      </c>
    </row>
    <row r="239">
      <c r="A239" s="45">
        <f>A238+1</f>
        <v/>
      </c>
      <c r="B239">
        <f>COUNTIFS('All Payments'!$B$2:$B$501,A239,'All Payments'!$N$2:$N$501,"Approved")</f>
        <v/>
      </c>
      <c r="C239" s="47">
        <f>SUMIFS('All Payments'!$D$2:$D$501,'All Payments'!$B$2:$B$501,A239,'All Payments'!$N$2:$N$501,"Approved")</f>
        <v/>
      </c>
    </row>
    <row r="240">
      <c r="A240" s="45">
        <f>A239+1</f>
        <v/>
      </c>
      <c r="B240">
        <f>COUNTIFS('All Payments'!$B$2:$B$501,A240,'All Payments'!$N$2:$N$501,"Approved")</f>
        <v/>
      </c>
      <c r="C240" s="47">
        <f>SUMIFS('All Payments'!$D$2:$D$501,'All Payments'!$B$2:$B$501,A240,'All Payments'!$N$2:$N$501,"Approved")</f>
        <v/>
      </c>
    </row>
    <row r="241">
      <c r="A241" s="45">
        <f>A240+1</f>
        <v/>
      </c>
      <c r="B241">
        <f>COUNTIFS('All Payments'!$B$2:$B$501,A241,'All Payments'!$N$2:$N$501,"Approved")</f>
        <v/>
      </c>
      <c r="C241" s="47">
        <f>SUMIFS('All Payments'!$D$2:$D$501,'All Payments'!$B$2:$B$501,A241,'All Payments'!$N$2:$N$501,"Approved")</f>
        <v/>
      </c>
    </row>
    <row r="242">
      <c r="A242" s="45">
        <f>A241+1</f>
        <v/>
      </c>
      <c r="B242">
        <f>COUNTIFS('All Payments'!$B$2:$B$501,A242,'All Payments'!$N$2:$N$501,"Approved")</f>
        <v/>
      </c>
      <c r="C242" s="47">
        <f>SUMIFS('All Payments'!$D$2:$D$501,'All Payments'!$B$2:$B$501,A242,'All Payments'!$N$2:$N$501,"Approved")</f>
        <v/>
      </c>
    </row>
    <row r="243">
      <c r="A243" s="45">
        <f>A242+1</f>
        <v/>
      </c>
      <c r="B243">
        <f>COUNTIFS('All Payments'!$B$2:$B$501,A243,'All Payments'!$N$2:$N$501,"Approved")</f>
        <v/>
      </c>
      <c r="C243" s="47">
        <f>SUMIFS('All Payments'!$D$2:$D$501,'All Payments'!$B$2:$B$501,A243,'All Payments'!$N$2:$N$501,"Approved")</f>
        <v/>
      </c>
    </row>
    <row r="244">
      <c r="A244" s="45">
        <f>A243+1</f>
        <v/>
      </c>
      <c r="B244">
        <f>COUNTIFS('All Payments'!$B$2:$B$501,A244,'All Payments'!$N$2:$N$501,"Approved")</f>
        <v/>
      </c>
      <c r="C244" s="47">
        <f>SUMIFS('All Payments'!$D$2:$D$501,'All Payments'!$B$2:$B$501,A244,'All Payments'!$N$2:$N$501,"Approved")</f>
        <v/>
      </c>
    </row>
    <row r="245">
      <c r="A245" s="45">
        <f>A244+1</f>
        <v/>
      </c>
      <c r="B245">
        <f>COUNTIFS('All Payments'!$B$2:$B$501,A245,'All Payments'!$N$2:$N$501,"Approved")</f>
        <v/>
      </c>
      <c r="C245" s="47">
        <f>SUMIFS('All Payments'!$D$2:$D$501,'All Payments'!$B$2:$B$501,A245,'All Payments'!$N$2:$N$501,"Approved")</f>
        <v/>
      </c>
    </row>
    <row r="246">
      <c r="A246" s="45">
        <f>A245+1</f>
        <v/>
      </c>
      <c r="B246">
        <f>COUNTIFS('All Payments'!$B$2:$B$501,A246,'All Payments'!$N$2:$N$501,"Approved")</f>
        <v/>
      </c>
      <c r="C246" s="47">
        <f>SUMIFS('All Payments'!$D$2:$D$501,'All Payments'!$B$2:$B$501,A246,'All Payments'!$N$2:$N$501,"Approved")</f>
        <v/>
      </c>
    </row>
    <row r="247">
      <c r="A247" s="45">
        <f>A246+1</f>
        <v/>
      </c>
      <c r="B247">
        <f>COUNTIFS('All Payments'!$B$2:$B$501,A247,'All Payments'!$N$2:$N$501,"Approved")</f>
        <v/>
      </c>
      <c r="C247" s="47">
        <f>SUMIFS('All Payments'!$D$2:$D$501,'All Payments'!$B$2:$B$501,A247,'All Payments'!$N$2:$N$501,"Approved")</f>
        <v/>
      </c>
    </row>
    <row r="248">
      <c r="A248" s="45">
        <f>A247+1</f>
        <v/>
      </c>
      <c r="B248">
        <f>COUNTIFS('All Payments'!$B$2:$B$501,A248,'All Payments'!$N$2:$N$501,"Approved")</f>
        <v/>
      </c>
      <c r="C248" s="47">
        <f>SUMIFS('All Payments'!$D$2:$D$501,'All Payments'!$B$2:$B$501,A248,'All Payments'!$N$2:$N$501,"Approved")</f>
        <v/>
      </c>
    </row>
    <row r="249">
      <c r="A249" s="45">
        <f>A248+1</f>
        <v/>
      </c>
      <c r="B249">
        <f>COUNTIFS('All Payments'!$B$2:$B$501,A249,'All Payments'!$N$2:$N$501,"Approved")</f>
        <v/>
      </c>
      <c r="C249" s="47">
        <f>SUMIFS('All Payments'!$D$2:$D$501,'All Payments'!$B$2:$B$501,A249,'All Payments'!$N$2:$N$501,"Approved")</f>
        <v/>
      </c>
    </row>
    <row r="250">
      <c r="A250" s="45">
        <f>A249+1</f>
        <v/>
      </c>
      <c r="B250">
        <f>COUNTIFS('All Payments'!$B$2:$B$501,A250,'All Payments'!$N$2:$N$501,"Approved")</f>
        <v/>
      </c>
      <c r="C250" s="47">
        <f>SUMIFS('All Payments'!$D$2:$D$501,'All Payments'!$B$2:$B$501,A250,'All Payments'!$N$2:$N$501,"Approved")</f>
        <v/>
      </c>
    </row>
    <row r="251">
      <c r="A251" s="45">
        <f>A250+1</f>
        <v/>
      </c>
      <c r="B251">
        <f>COUNTIFS('All Payments'!$B$2:$B$501,A251,'All Payments'!$N$2:$N$501,"Approved")</f>
        <v/>
      </c>
      <c r="C251" s="47">
        <f>SUMIFS('All Payments'!$D$2:$D$501,'All Payments'!$B$2:$B$501,A251,'All Payments'!$N$2:$N$501,"Approved")</f>
        <v/>
      </c>
    </row>
    <row r="252">
      <c r="A252" s="45">
        <f>A251+1</f>
        <v/>
      </c>
      <c r="B252">
        <f>COUNTIFS('All Payments'!$B$2:$B$501,A252,'All Payments'!$N$2:$N$501,"Approved")</f>
        <v/>
      </c>
      <c r="C252" s="47">
        <f>SUMIFS('All Payments'!$D$2:$D$501,'All Payments'!$B$2:$B$501,A252,'All Payments'!$N$2:$N$501,"Approved")</f>
        <v/>
      </c>
    </row>
    <row r="253">
      <c r="A253" s="45">
        <f>A252+1</f>
        <v/>
      </c>
      <c r="B253">
        <f>COUNTIFS('All Payments'!$B$2:$B$501,A253,'All Payments'!$N$2:$N$501,"Approved")</f>
        <v/>
      </c>
      <c r="C253" s="47">
        <f>SUMIFS('All Payments'!$D$2:$D$501,'All Payments'!$B$2:$B$501,A253,'All Payments'!$N$2:$N$501,"Approved")</f>
        <v/>
      </c>
    </row>
    <row r="254">
      <c r="A254" s="45">
        <f>A253+1</f>
        <v/>
      </c>
      <c r="B254">
        <f>COUNTIFS('All Payments'!$B$2:$B$501,A254,'All Payments'!$N$2:$N$501,"Approved")</f>
        <v/>
      </c>
      <c r="C254" s="47">
        <f>SUMIFS('All Payments'!$D$2:$D$501,'All Payments'!$B$2:$B$501,A254,'All Payments'!$N$2:$N$501,"Approved")</f>
        <v/>
      </c>
    </row>
    <row r="255">
      <c r="A255" s="45">
        <f>A254+1</f>
        <v/>
      </c>
      <c r="B255">
        <f>COUNTIFS('All Payments'!$B$2:$B$501,A255,'All Payments'!$N$2:$N$501,"Approved")</f>
        <v/>
      </c>
      <c r="C255" s="47">
        <f>SUMIFS('All Payments'!$D$2:$D$501,'All Payments'!$B$2:$B$501,A255,'All Payments'!$N$2:$N$501,"Approved")</f>
        <v/>
      </c>
    </row>
    <row r="256">
      <c r="A256" s="45">
        <f>A255+1</f>
        <v/>
      </c>
      <c r="B256">
        <f>COUNTIFS('All Payments'!$B$2:$B$501,A256,'All Payments'!$N$2:$N$501,"Approved")</f>
        <v/>
      </c>
      <c r="C256" s="47">
        <f>SUMIFS('All Payments'!$D$2:$D$501,'All Payments'!$B$2:$B$501,A256,'All Payments'!$N$2:$N$501,"Approved")</f>
        <v/>
      </c>
    </row>
    <row r="257">
      <c r="A257" s="45">
        <f>A256+1</f>
        <v/>
      </c>
      <c r="B257">
        <f>COUNTIFS('All Payments'!$B$2:$B$501,A257,'All Payments'!$N$2:$N$501,"Approved")</f>
        <v/>
      </c>
      <c r="C257" s="47">
        <f>SUMIFS('All Payments'!$D$2:$D$501,'All Payments'!$B$2:$B$501,A257,'All Payments'!$N$2:$N$501,"Approved")</f>
        <v/>
      </c>
    </row>
    <row r="258">
      <c r="A258" s="45">
        <f>A257+1</f>
        <v/>
      </c>
      <c r="B258">
        <f>COUNTIFS('All Payments'!$B$2:$B$501,A258,'All Payments'!$N$2:$N$501,"Approved")</f>
        <v/>
      </c>
      <c r="C258" s="47">
        <f>SUMIFS('All Payments'!$D$2:$D$501,'All Payments'!$B$2:$B$501,A258,'All Payments'!$N$2:$N$501,"Approved")</f>
        <v/>
      </c>
    </row>
    <row r="259">
      <c r="A259" s="45">
        <f>A258+1</f>
        <v/>
      </c>
      <c r="B259">
        <f>COUNTIFS('All Payments'!$B$2:$B$501,A259,'All Payments'!$N$2:$N$501,"Approved")</f>
        <v/>
      </c>
      <c r="C259" s="47">
        <f>SUMIFS('All Payments'!$D$2:$D$501,'All Payments'!$B$2:$B$501,A259,'All Payments'!$N$2:$N$501,"Approved")</f>
        <v/>
      </c>
    </row>
    <row r="260">
      <c r="A260" s="45">
        <f>A259+1</f>
        <v/>
      </c>
      <c r="B260">
        <f>COUNTIFS('All Payments'!$B$2:$B$501,A260,'All Payments'!$N$2:$N$501,"Approved")</f>
        <v/>
      </c>
      <c r="C260" s="47">
        <f>SUMIFS('All Payments'!$D$2:$D$501,'All Payments'!$B$2:$B$501,A260,'All Payments'!$N$2:$N$501,"Approved")</f>
        <v/>
      </c>
    </row>
    <row r="261">
      <c r="A261" s="45">
        <f>A260+1</f>
        <v/>
      </c>
      <c r="B261">
        <f>COUNTIFS('All Payments'!$B$2:$B$501,A261,'All Payments'!$N$2:$N$501,"Approved")</f>
        <v/>
      </c>
      <c r="C261" s="47">
        <f>SUMIFS('All Payments'!$D$2:$D$501,'All Payments'!$B$2:$B$501,A261,'All Payments'!$N$2:$N$501,"Approved")</f>
        <v/>
      </c>
    </row>
    <row r="262">
      <c r="A262" s="45">
        <f>A261+1</f>
        <v/>
      </c>
      <c r="B262">
        <f>COUNTIFS('All Payments'!$B$2:$B$501,A262,'All Payments'!$N$2:$N$501,"Approved")</f>
        <v/>
      </c>
      <c r="C262" s="47">
        <f>SUMIFS('All Payments'!$D$2:$D$501,'All Payments'!$B$2:$B$501,A262,'All Payments'!$N$2:$N$501,"Approved")</f>
        <v/>
      </c>
    </row>
    <row r="263">
      <c r="A263" s="45">
        <f>A262+1</f>
        <v/>
      </c>
      <c r="B263">
        <f>COUNTIFS('All Payments'!$B$2:$B$501,A263,'All Payments'!$N$2:$N$501,"Approved")</f>
        <v/>
      </c>
      <c r="C263" s="47">
        <f>SUMIFS('All Payments'!$D$2:$D$501,'All Payments'!$B$2:$B$501,A263,'All Payments'!$N$2:$N$501,"Approved")</f>
        <v/>
      </c>
    </row>
    <row r="264">
      <c r="A264" s="45">
        <f>A263+1</f>
        <v/>
      </c>
      <c r="B264">
        <f>COUNTIFS('All Payments'!$B$2:$B$501,A264,'All Payments'!$N$2:$N$501,"Approved")</f>
        <v/>
      </c>
      <c r="C264" s="47">
        <f>SUMIFS('All Payments'!$D$2:$D$501,'All Payments'!$B$2:$B$501,A264,'All Payments'!$N$2:$N$501,"Approved")</f>
        <v/>
      </c>
    </row>
    <row r="265">
      <c r="A265" s="45">
        <f>A264+1</f>
        <v/>
      </c>
      <c r="B265">
        <f>COUNTIFS('All Payments'!$B$2:$B$501,A265,'All Payments'!$N$2:$N$501,"Approved")</f>
        <v/>
      </c>
      <c r="C265" s="47">
        <f>SUMIFS('All Payments'!$D$2:$D$501,'All Payments'!$B$2:$B$501,A265,'All Payments'!$N$2:$N$501,"Approved")</f>
        <v/>
      </c>
    </row>
    <row r="266">
      <c r="A266" s="45">
        <f>A265+1</f>
        <v/>
      </c>
      <c r="B266">
        <f>COUNTIFS('All Payments'!$B$2:$B$501,A266,'All Payments'!$N$2:$N$501,"Approved")</f>
        <v/>
      </c>
      <c r="C266" s="47">
        <f>SUMIFS('All Payments'!$D$2:$D$501,'All Payments'!$B$2:$B$501,A266,'All Payments'!$N$2:$N$501,"Approved")</f>
        <v/>
      </c>
    </row>
    <row r="267">
      <c r="A267" s="45">
        <f>A266+1</f>
        <v/>
      </c>
      <c r="B267">
        <f>COUNTIFS('All Payments'!$B$2:$B$501,A267,'All Payments'!$N$2:$N$501,"Approved")</f>
        <v/>
      </c>
      <c r="C267" s="47">
        <f>SUMIFS('All Payments'!$D$2:$D$501,'All Payments'!$B$2:$B$501,A267,'All Payments'!$N$2:$N$501,"Approved")</f>
        <v/>
      </c>
    </row>
    <row r="268">
      <c r="A268" s="45">
        <f>A267+1</f>
        <v/>
      </c>
      <c r="B268">
        <f>COUNTIFS('All Payments'!$B$2:$B$501,A268,'All Payments'!$N$2:$N$501,"Approved")</f>
        <v/>
      </c>
      <c r="C268" s="47">
        <f>SUMIFS('All Payments'!$D$2:$D$501,'All Payments'!$B$2:$B$501,A268,'All Payments'!$N$2:$N$501,"Approved")</f>
        <v/>
      </c>
    </row>
    <row r="269">
      <c r="A269" s="45">
        <f>A268+1</f>
        <v/>
      </c>
      <c r="B269">
        <f>COUNTIFS('All Payments'!$B$2:$B$501,A269,'All Payments'!$N$2:$N$501,"Approved")</f>
        <v/>
      </c>
      <c r="C269" s="47">
        <f>SUMIFS('All Payments'!$D$2:$D$501,'All Payments'!$B$2:$B$501,A269,'All Payments'!$N$2:$N$501,"Approved")</f>
        <v/>
      </c>
    </row>
    <row r="270">
      <c r="A270" s="45">
        <f>A269+1</f>
        <v/>
      </c>
      <c r="B270">
        <f>COUNTIFS('All Payments'!$B$2:$B$501,A270,'All Payments'!$N$2:$N$501,"Approved")</f>
        <v/>
      </c>
      <c r="C270" s="47">
        <f>SUMIFS('All Payments'!$D$2:$D$501,'All Payments'!$B$2:$B$501,A270,'All Payments'!$N$2:$N$501,"Approved")</f>
        <v/>
      </c>
    </row>
    <row r="271">
      <c r="A271" s="45">
        <f>A270+1</f>
        <v/>
      </c>
      <c r="B271">
        <f>COUNTIFS('All Payments'!$B$2:$B$501,A271,'All Payments'!$N$2:$N$501,"Approved")</f>
        <v/>
      </c>
      <c r="C271" s="47">
        <f>SUMIFS('All Payments'!$D$2:$D$501,'All Payments'!$B$2:$B$501,A271,'All Payments'!$N$2:$N$501,"Approved")</f>
        <v/>
      </c>
    </row>
    <row r="272">
      <c r="A272" s="45">
        <f>A271+1</f>
        <v/>
      </c>
      <c r="B272">
        <f>COUNTIFS('All Payments'!$B$2:$B$501,A272,'All Payments'!$N$2:$N$501,"Approved")</f>
        <v/>
      </c>
      <c r="C272" s="47">
        <f>SUMIFS('All Payments'!$D$2:$D$501,'All Payments'!$B$2:$B$501,A272,'All Payments'!$N$2:$N$501,"Approved")</f>
        <v/>
      </c>
    </row>
    <row r="273">
      <c r="A273" s="45">
        <f>A272+1</f>
        <v/>
      </c>
      <c r="B273">
        <f>COUNTIFS('All Payments'!$B$2:$B$501,A273,'All Payments'!$N$2:$N$501,"Approved")</f>
        <v/>
      </c>
      <c r="C273" s="47">
        <f>SUMIFS('All Payments'!$D$2:$D$501,'All Payments'!$B$2:$B$501,A273,'All Payments'!$N$2:$N$501,"Approved")</f>
        <v/>
      </c>
    </row>
    <row r="274">
      <c r="A274" s="45">
        <f>A273+1</f>
        <v/>
      </c>
      <c r="B274">
        <f>COUNTIFS('All Payments'!$B$2:$B$501,A274,'All Payments'!$N$2:$N$501,"Approved")</f>
        <v/>
      </c>
      <c r="C274" s="47">
        <f>SUMIFS('All Payments'!$D$2:$D$501,'All Payments'!$B$2:$B$501,A274,'All Payments'!$N$2:$N$501,"Approved")</f>
        <v/>
      </c>
    </row>
    <row r="275">
      <c r="A275" s="45">
        <f>A274+1</f>
        <v/>
      </c>
      <c r="B275">
        <f>COUNTIFS('All Payments'!$B$2:$B$501,A275,'All Payments'!$N$2:$N$501,"Approved")</f>
        <v/>
      </c>
      <c r="C275" s="47">
        <f>SUMIFS('All Payments'!$D$2:$D$501,'All Payments'!$B$2:$B$501,A275,'All Payments'!$N$2:$N$501,"Approved")</f>
        <v/>
      </c>
    </row>
    <row r="276">
      <c r="A276" s="45">
        <f>A275+1</f>
        <v/>
      </c>
      <c r="B276">
        <f>COUNTIFS('All Payments'!$B$2:$B$501,A276,'All Payments'!$N$2:$N$501,"Approved")</f>
        <v/>
      </c>
      <c r="C276" s="47">
        <f>SUMIFS('All Payments'!$D$2:$D$501,'All Payments'!$B$2:$B$501,A276,'All Payments'!$N$2:$N$501,"Approved")</f>
        <v/>
      </c>
    </row>
    <row r="277">
      <c r="A277" s="45">
        <f>A276+1</f>
        <v/>
      </c>
      <c r="B277">
        <f>COUNTIFS('All Payments'!$B$2:$B$501,A277,'All Payments'!$N$2:$N$501,"Approved")</f>
        <v/>
      </c>
      <c r="C277" s="47">
        <f>SUMIFS('All Payments'!$D$2:$D$501,'All Payments'!$B$2:$B$501,A277,'All Payments'!$N$2:$N$501,"Approved")</f>
        <v/>
      </c>
    </row>
    <row r="278">
      <c r="A278" s="45">
        <f>A277+1</f>
        <v/>
      </c>
      <c r="B278">
        <f>COUNTIFS('All Payments'!$B$2:$B$501,A278,'All Payments'!$N$2:$N$501,"Approved")</f>
        <v/>
      </c>
      <c r="C278" s="47">
        <f>SUMIFS('All Payments'!$D$2:$D$501,'All Payments'!$B$2:$B$501,A278,'All Payments'!$N$2:$N$501,"Approved")</f>
        <v/>
      </c>
    </row>
    <row r="279">
      <c r="A279" s="45">
        <f>A278+1</f>
        <v/>
      </c>
      <c r="B279">
        <f>COUNTIFS('All Payments'!$B$2:$B$501,A279,'All Payments'!$N$2:$N$501,"Approved")</f>
        <v/>
      </c>
      <c r="C279" s="47">
        <f>SUMIFS('All Payments'!$D$2:$D$501,'All Payments'!$B$2:$B$501,A279,'All Payments'!$N$2:$N$501,"Approved")</f>
        <v/>
      </c>
    </row>
    <row r="280">
      <c r="A280" s="45">
        <f>A279+1</f>
        <v/>
      </c>
      <c r="B280">
        <f>COUNTIFS('All Payments'!$B$2:$B$501,A280,'All Payments'!$N$2:$N$501,"Approved")</f>
        <v/>
      </c>
      <c r="C280" s="47">
        <f>SUMIFS('All Payments'!$D$2:$D$501,'All Payments'!$B$2:$B$501,A280,'All Payments'!$N$2:$N$501,"Approved")</f>
        <v/>
      </c>
    </row>
    <row r="281">
      <c r="A281" s="45">
        <f>A280+1</f>
        <v/>
      </c>
      <c r="B281">
        <f>COUNTIFS('All Payments'!$B$2:$B$501,A281,'All Payments'!$N$2:$N$501,"Approved")</f>
        <v/>
      </c>
      <c r="C281" s="47">
        <f>SUMIFS('All Payments'!$D$2:$D$501,'All Payments'!$B$2:$B$501,A281,'All Payments'!$N$2:$N$501,"Approved")</f>
        <v/>
      </c>
    </row>
    <row r="282">
      <c r="A282" s="45">
        <f>A281+1</f>
        <v/>
      </c>
      <c r="B282">
        <f>COUNTIFS('All Payments'!$B$2:$B$501,A282,'All Payments'!$N$2:$N$501,"Approved")</f>
        <v/>
      </c>
      <c r="C282" s="47">
        <f>SUMIFS('All Payments'!$D$2:$D$501,'All Payments'!$B$2:$B$501,A282,'All Payments'!$N$2:$N$501,"Approved")</f>
        <v/>
      </c>
    </row>
    <row r="283">
      <c r="A283" s="45">
        <f>A282+1</f>
        <v/>
      </c>
      <c r="B283">
        <f>COUNTIFS('All Payments'!$B$2:$B$501,A283,'All Payments'!$N$2:$N$501,"Approved")</f>
        <v/>
      </c>
      <c r="C283" s="47">
        <f>SUMIFS('All Payments'!$D$2:$D$501,'All Payments'!$B$2:$B$501,A283,'All Payments'!$N$2:$N$501,"Approved")</f>
        <v/>
      </c>
    </row>
    <row r="284">
      <c r="A284" s="45">
        <f>A283+1</f>
        <v/>
      </c>
      <c r="B284">
        <f>COUNTIFS('All Payments'!$B$2:$B$501,A284,'All Payments'!$N$2:$N$501,"Approved")</f>
        <v/>
      </c>
      <c r="C284" s="47">
        <f>SUMIFS('All Payments'!$D$2:$D$501,'All Payments'!$B$2:$B$501,A284,'All Payments'!$N$2:$N$501,"Approved")</f>
        <v/>
      </c>
    </row>
    <row r="285">
      <c r="A285" s="45">
        <f>A284+1</f>
        <v/>
      </c>
      <c r="B285">
        <f>COUNTIFS('All Payments'!$B$2:$B$501,A285,'All Payments'!$N$2:$N$501,"Approved")</f>
        <v/>
      </c>
      <c r="C285" s="47">
        <f>SUMIFS('All Payments'!$D$2:$D$501,'All Payments'!$B$2:$B$501,A285,'All Payments'!$N$2:$N$501,"Approved")</f>
        <v/>
      </c>
    </row>
    <row r="286">
      <c r="A286" s="45">
        <f>A285+1</f>
        <v/>
      </c>
      <c r="B286">
        <f>COUNTIFS('All Payments'!$B$2:$B$501,A286,'All Payments'!$N$2:$N$501,"Approved")</f>
        <v/>
      </c>
      <c r="C286" s="47">
        <f>SUMIFS('All Payments'!$D$2:$D$501,'All Payments'!$B$2:$B$501,A286,'All Payments'!$N$2:$N$501,"Approved")</f>
        <v/>
      </c>
    </row>
    <row r="287">
      <c r="A287" s="45">
        <f>A286+1</f>
        <v/>
      </c>
      <c r="B287">
        <f>COUNTIFS('All Payments'!$B$2:$B$501,A287,'All Payments'!$N$2:$N$501,"Approved")</f>
        <v/>
      </c>
      <c r="C287" s="47">
        <f>SUMIFS('All Payments'!$D$2:$D$501,'All Payments'!$B$2:$B$501,A287,'All Payments'!$N$2:$N$501,"Approved")</f>
        <v/>
      </c>
    </row>
    <row r="288">
      <c r="A288" s="45">
        <f>A287+1</f>
        <v/>
      </c>
      <c r="B288">
        <f>COUNTIFS('All Payments'!$B$2:$B$501,A288,'All Payments'!$N$2:$N$501,"Approved")</f>
        <v/>
      </c>
      <c r="C288" s="47">
        <f>SUMIFS('All Payments'!$D$2:$D$501,'All Payments'!$B$2:$B$501,A288,'All Payments'!$N$2:$N$501,"Approved")</f>
        <v/>
      </c>
    </row>
    <row r="289">
      <c r="A289" s="45">
        <f>A288+1</f>
        <v/>
      </c>
      <c r="B289">
        <f>COUNTIFS('All Payments'!$B$2:$B$501,A289,'All Payments'!$N$2:$N$501,"Approved")</f>
        <v/>
      </c>
      <c r="C289" s="47">
        <f>SUMIFS('All Payments'!$D$2:$D$501,'All Payments'!$B$2:$B$501,A289,'All Payments'!$N$2:$N$501,"Approved")</f>
        <v/>
      </c>
    </row>
    <row r="290">
      <c r="A290" s="45">
        <f>A289+1</f>
        <v/>
      </c>
      <c r="B290">
        <f>COUNTIFS('All Payments'!$B$2:$B$501,A290,'All Payments'!$N$2:$N$501,"Approved")</f>
        <v/>
      </c>
      <c r="C290" s="47">
        <f>SUMIFS('All Payments'!$D$2:$D$501,'All Payments'!$B$2:$B$501,A290,'All Payments'!$N$2:$N$501,"Approved")</f>
        <v/>
      </c>
    </row>
    <row r="291">
      <c r="A291" s="45">
        <f>A290+1</f>
        <v/>
      </c>
      <c r="B291">
        <f>COUNTIFS('All Payments'!$B$2:$B$501,A291,'All Payments'!$N$2:$N$501,"Approved")</f>
        <v/>
      </c>
      <c r="C291" s="47">
        <f>SUMIFS('All Payments'!$D$2:$D$501,'All Payments'!$B$2:$B$501,A291,'All Payments'!$N$2:$N$501,"Approved")</f>
        <v/>
      </c>
    </row>
    <row r="292">
      <c r="A292" s="45">
        <f>A291+1</f>
        <v/>
      </c>
      <c r="B292">
        <f>COUNTIFS('All Payments'!$B$2:$B$501,A292,'All Payments'!$N$2:$N$501,"Approved")</f>
        <v/>
      </c>
      <c r="C292" s="47">
        <f>SUMIFS('All Payments'!$D$2:$D$501,'All Payments'!$B$2:$B$501,A292,'All Payments'!$N$2:$N$501,"Approved")</f>
        <v/>
      </c>
    </row>
    <row r="293">
      <c r="A293" s="45">
        <f>A292+1</f>
        <v/>
      </c>
      <c r="B293">
        <f>COUNTIFS('All Payments'!$B$2:$B$501,A293,'All Payments'!$N$2:$N$501,"Approved")</f>
        <v/>
      </c>
      <c r="C293" s="47">
        <f>SUMIFS('All Payments'!$D$2:$D$501,'All Payments'!$B$2:$B$501,A293,'All Payments'!$N$2:$N$501,"Approved")</f>
        <v/>
      </c>
    </row>
    <row r="294">
      <c r="A294" s="45">
        <f>A293+1</f>
        <v/>
      </c>
      <c r="B294">
        <f>COUNTIFS('All Payments'!$B$2:$B$501,A294,'All Payments'!$N$2:$N$501,"Approved")</f>
        <v/>
      </c>
      <c r="C294" s="47">
        <f>SUMIFS('All Payments'!$D$2:$D$501,'All Payments'!$B$2:$B$501,A294,'All Payments'!$N$2:$N$501,"Approved")</f>
        <v/>
      </c>
    </row>
    <row r="295">
      <c r="A295" s="45">
        <f>A294+1</f>
        <v/>
      </c>
      <c r="B295">
        <f>COUNTIFS('All Payments'!$B$2:$B$501,A295,'All Payments'!$N$2:$N$501,"Approved")</f>
        <v/>
      </c>
      <c r="C295" s="47">
        <f>SUMIFS('All Payments'!$D$2:$D$501,'All Payments'!$B$2:$B$501,A295,'All Payments'!$N$2:$N$501,"Approved")</f>
        <v/>
      </c>
    </row>
    <row r="296">
      <c r="A296" s="45">
        <f>A295+1</f>
        <v/>
      </c>
      <c r="B296">
        <f>COUNTIFS('All Payments'!$B$2:$B$501,A296,'All Payments'!$N$2:$N$501,"Approved")</f>
        <v/>
      </c>
      <c r="C296" s="47">
        <f>SUMIFS('All Payments'!$D$2:$D$501,'All Payments'!$B$2:$B$501,A296,'All Payments'!$N$2:$N$501,"Approved")</f>
        <v/>
      </c>
    </row>
    <row r="297">
      <c r="A297" s="45">
        <f>A296+1</f>
        <v/>
      </c>
      <c r="B297">
        <f>COUNTIFS('All Payments'!$B$2:$B$501,A297,'All Payments'!$N$2:$N$501,"Approved")</f>
        <v/>
      </c>
      <c r="C297" s="47">
        <f>SUMIFS('All Payments'!$D$2:$D$501,'All Payments'!$B$2:$B$501,A297,'All Payments'!$N$2:$N$501,"Approved")</f>
        <v/>
      </c>
    </row>
    <row r="298">
      <c r="A298" s="45">
        <f>A297+1</f>
        <v/>
      </c>
      <c r="B298">
        <f>COUNTIFS('All Payments'!$B$2:$B$501,A298,'All Payments'!$N$2:$N$501,"Approved")</f>
        <v/>
      </c>
      <c r="C298" s="47">
        <f>SUMIFS('All Payments'!$D$2:$D$501,'All Payments'!$B$2:$B$501,A298,'All Payments'!$N$2:$N$501,"Approved")</f>
        <v/>
      </c>
    </row>
    <row r="299">
      <c r="A299" s="45">
        <f>A298+1</f>
        <v/>
      </c>
      <c r="B299">
        <f>COUNTIFS('All Payments'!$B$2:$B$501,A299,'All Payments'!$N$2:$N$501,"Approved")</f>
        <v/>
      </c>
      <c r="C299" s="47">
        <f>SUMIFS('All Payments'!$D$2:$D$501,'All Payments'!$B$2:$B$501,A299,'All Payments'!$N$2:$N$501,"Approved")</f>
        <v/>
      </c>
    </row>
    <row r="300">
      <c r="A300" s="45">
        <f>A299+1</f>
        <v/>
      </c>
      <c r="B300">
        <f>COUNTIFS('All Payments'!$B$2:$B$501,A300,'All Payments'!$N$2:$N$501,"Approved")</f>
        <v/>
      </c>
      <c r="C300" s="47">
        <f>SUMIFS('All Payments'!$D$2:$D$501,'All Payments'!$B$2:$B$501,A300,'All Payments'!$N$2:$N$501,"Approved")</f>
        <v/>
      </c>
    </row>
    <row r="301">
      <c r="A301" s="45">
        <f>A300+1</f>
        <v/>
      </c>
      <c r="B301">
        <f>COUNTIFS('All Payments'!$B$2:$B$501,A301,'All Payments'!$N$2:$N$501,"Approved")</f>
        <v/>
      </c>
      <c r="C301" s="47">
        <f>SUMIFS('All Payments'!$D$2:$D$501,'All Payments'!$B$2:$B$501,A301,'All Payments'!$N$2:$N$501,"Approved")</f>
        <v/>
      </c>
    </row>
    <row r="302">
      <c r="A302" s="45">
        <f>A301+1</f>
        <v/>
      </c>
      <c r="B302">
        <f>COUNTIFS('All Payments'!$B$2:$B$501,A302,'All Payments'!$N$2:$N$501,"Approved")</f>
        <v/>
      </c>
      <c r="C302" s="47">
        <f>SUMIFS('All Payments'!$D$2:$D$501,'All Payments'!$B$2:$B$501,A302,'All Payments'!$N$2:$N$501,"Approved")</f>
        <v/>
      </c>
    </row>
    <row r="303">
      <c r="A303" s="45">
        <f>A302+1</f>
        <v/>
      </c>
      <c r="B303">
        <f>COUNTIFS('All Payments'!$B$2:$B$501,A303,'All Payments'!$N$2:$N$501,"Approved")</f>
        <v/>
      </c>
      <c r="C303" s="47">
        <f>SUMIFS('All Payments'!$D$2:$D$501,'All Payments'!$B$2:$B$501,A303,'All Payments'!$N$2:$N$501,"Approved")</f>
        <v/>
      </c>
    </row>
    <row r="304">
      <c r="A304" s="45">
        <f>A303+1</f>
        <v/>
      </c>
      <c r="B304">
        <f>COUNTIFS('All Payments'!$B$2:$B$501,A304,'All Payments'!$N$2:$N$501,"Approved")</f>
        <v/>
      </c>
      <c r="C304" s="47">
        <f>SUMIFS('All Payments'!$D$2:$D$501,'All Payments'!$B$2:$B$501,A304,'All Payments'!$N$2:$N$501,"Approved")</f>
        <v/>
      </c>
    </row>
    <row r="305">
      <c r="A305" s="45">
        <f>A304+1</f>
        <v/>
      </c>
      <c r="B305">
        <f>COUNTIFS('All Payments'!$B$2:$B$501,A305,'All Payments'!$N$2:$N$501,"Approved")</f>
        <v/>
      </c>
      <c r="C305" s="47">
        <f>SUMIFS('All Payments'!$D$2:$D$501,'All Payments'!$B$2:$B$501,A305,'All Payments'!$N$2:$N$501,"Approved")</f>
        <v/>
      </c>
    </row>
    <row r="306">
      <c r="A306" s="45">
        <f>A305+1</f>
        <v/>
      </c>
      <c r="B306">
        <f>COUNTIFS('All Payments'!$B$2:$B$501,A306,'All Payments'!$N$2:$N$501,"Approved")</f>
        <v/>
      </c>
      <c r="C306" s="47">
        <f>SUMIFS('All Payments'!$D$2:$D$501,'All Payments'!$B$2:$B$501,A306,'All Payments'!$N$2:$N$501,"Approved")</f>
        <v/>
      </c>
    </row>
    <row r="307">
      <c r="A307" s="45">
        <f>A306+1</f>
        <v/>
      </c>
      <c r="B307">
        <f>COUNTIFS('All Payments'!$B$2:$B$501,A307,'All Payments'!$N$2:$N$501,"Approved")</f>
        <v/>
      </c>
      <c r="C307" s="47">
        <f>SUMIFS('All Payments'!$D$2:$D$501,'All Payments'!$B$2:$B$501,A307,'All Payments'!$N$2:$N$501,"Approved")</f>
        <v/>
      </c>
    </row>
    <row r="308">
      <c r="A308" s="45">
        <f>A307+1</f>
        <v/>
      </c>
      <c r="B308">
        <f>COUNTIFS('All Payments'!$B$2:$B$501,A308,'All Payments'!$N$2:$N$501,"Approved")</f>
        <v/>
      </c>
      <c r="C308" s="47">
        <f>SUMIFS('All Payments'!$D$2:$D$501,'All Payments'!$B$2:$B$501,A308,'All Payments'!$N$2:$N$501,"Approved")</f>
        <v/>
      </c>
    </row>
    <row r="309">
      <c r="A309" s="45">
        <f>A308+1</f>
        <v/>
      </c>
      <c r="B309">
        <f>COUNTIFS('All Payments'!$B$2:$B$501,A309,'All Payments'!$N$2:$N$501,"Approved")</f>
        <v/>
      </c>
      <c r="C309" s="47">
        <f>SUMIFS('All Payments'!$D$2:$D$501,'All Payments'!$B$2:$B$501,A309,'All Payments'!$N$2:$N$501,"Approved")</f>
        <v/>
      </c>
    </row>
    <row r="310">
      <c r="A310" s="45">
        <f>A309+1</f>
        <v/>
      </c>
      <c r="B310">
        <f>COUNTIFS('All Payments'!$B$2:$B$501,A310,'All Payments'!$N$2:$N$501,"Approved")</f>
        <v/>
      </c>
      <c r="C310" s="47">
        <f>SUMIFS('All Payments'!$D$2:$D$501,'All Payments'!$B$2:$B$501,A310,'All Payments'!$N$2:$N$501,"Approved")</f>
        <v/>
      </c>
    </row>
    <row r="311">
      <c r="A311" s="45">
        <f>A310+1</f>
        <v/>
      </c>
      <c r="B311">
        <f>COUNTIFS('All Payments'!$B$2:$B$501,A311,'All Payments'!$N$2:$N$501,"Approved")</f>
        <v/>
      </c>
      <c r="C311" s="47">
        <f>SUMIFS('All Payments'!$D$2:$D$501,'All Payments'!$B$2:$B$501,A311,'All Payments'!$N$2:$N$501,"Approved")</f>
        <v/>
      </c>
    </row>
    <row r="312">
      <c r="A312" s="45">
        <f>A311+1</f>
        <v/>
      </c>
      <c r="B312">
        <f>COUNTIFS('All Payments'!$B$2:$B$501,A312,'All Payments'!$N$2:$N$501,"Approved")</f>
        <v/>
      </c>
      <c r="C312" s="47">
        <f>SUMIFS('All Payments'!$D$2:$D$501,'All Payments'!$B$2:$B$501,A312,'All Payments'!$N$2:$N$501,"Approved")</f>
        <v/>
      </c>
    </row>
    <row r="313">
      <c r="A313" s="45">
        <f>A312+1</f>
        <v/>
      </c>
      <c r="B313">
        <f>COUNTIFS('All Payments'!$B$2:$B$501,A313,'All Payments'!$N$2:$N$501,"Approved")</f>
        <v/>
      </c>
      <c r="C313" s="47">
        <f>SUMIFS('All Payments'!$D$2:$D$501,'All Payments'!$B$2:$B$501,A313,'All Payments'!$N$2:$N$501,"Approved")</f>
        <v/>
      </c>
    </row>
    <row r="314">
      <c r="A314" s="45">
        <f>A313+1</f>
        <v/>
      </c>
      <c r="B314">
        <f>COUNTIFS('All Payments'!$B$2:$B$501,A314,'All Payments'!$N$2:$N$501,"Approved")</f>
        <v/>
      </c>
      <c r="C314" s="47">
        <f>SUMIFS('All Payments'!$D$2:$D$501,'All Payments'!$B$2:$B$501,A314,'All Payments'!$N$2:$N$501,"Approved")</f>
        <v/>
      </c>
    </row>
    <row r="315">
      <c r="A315" s="45">
        <f>A314+1</f>
        <v/>
      </c>
      <c r="B315">
        <f>COUNTIFS('All Payments'!$B$2:$B$501,A315,'All Payments'!$N$2:$N$501,"Approved")</f>
        <v/>
      </c>
      <c r="C315" s="47">
        <f>SUMIFS('All Payments'!$D$2:$D$501,'All Payments'!$B$2:$B$501,A315,'All Payments'!$N$2:$N$501,"Approved")</f>
        <v/>
      </c>
    </row>
    <row r="316">
      <c r="A316" s="45">
        <f>A315+1</f>
        <v/>
      </c>
      <c r="B316">
        <f>COUNTIFS('All Payments'!$B$2:$B$501,A316,'All Payments'!$N$2:$N$501,"Approved")</f>
        <v/>
      </c>
      <c r="C316" s="47">
        <f>SUMIFS('All Payments'!$D$2:$D$501,'All Payments'!$B$2:$B$501,A316,'All Payments'!$N$2:$N$501,"Approved")</f>
        <v/>
      </c>
    </row>
    <row r="317">
      <c r="A317" s="45">
        <f>A316+1</f>
        <v/>
      </c>
      <c r="B317">
        <f>COUNTIFS('All Payments'!$B$2:$B$501,A317,'All Payments'!$N$2:$N$501,"Approved")</f>
        <v/>
      </c>
      <c r="C317" s="47">
        <f>SUMIFS('All Payments'!$D$2:$D$501,'All Payments'!$B$2:$B$501,A317,'All Payments'!$N$2:$N$501,"Approved")</f>
        <v/>
      </c>
    </row>
    <row r="318">
      <c r="A318" s="45">
        <f>A317+1</f>
        <v/>
      </c>
      <c r="B318">
        <f>COUNTIFS('All Payments'!$B$2:$B$501,A318,'All Payments'!$N$2:$N$501,"Approved")</f>
        <v/>
      </c>
      <c r="C318" s="47">
        <f>SUMIFS('All Payments'!$D$2:$D$501,'All Payments'!$B$2:$B$501,A318,'All Payments'!$N$2:$N$501,"Approved")</f>
        <v/>
      </c>
    </row>
    <row r="319">
      <c r="A319" s="45">
        <f>A318+1</f>
        <v/>
      </c>
      <c r="B319">
        <f>COUNTIFS('All Payments'!$B$2:$B$501,A319,'All Payments'!$N$2:$N$501,"Approved")</f>
        <v/>
      </c>
      <c r="C319" s="47">
        <f>SUMIFS('All Payments'!$D$2:$D$501,'All Payments'!$B$2:$B$501,A319,'All Payments'!$N$2:$N$501,"Approved")</f>
        <v/>
      </c>
    </row>
    <row r="320">
      <c r="A320" s="45">
        <f>A319+1</f>
        <v/>
      </c>
      <c r="B320">
        <f>COUNTIFS('All Payments'!$B$2:$B$501,A320,'All Payments'!$N$2:$N$501,"Approved")</f>
        <v/>
      </c>
      <c r="C320" s="47">
        <f>SUMIFS('All Payments'!$D$2:$D$501,'All Payments'!$B$2:$B$501,A320,'All Payments'!$N$2:$N$501,"Approved")</f>
        <v/>
      </c>
    </row>
    <row r="321">
      <c r="A321" s="45">
        <f>A320+1</f>
        <v/>
      </c>
      <c r="B321">
        <f>COUNTIFS('All Payments'!$B$2:$B$501,A321,'All Payments'!$N$2:$N$501,"Approved")</f>
        <v/>
      </c>
      <c r="C321" s="47">
        <f>SUMIFS('All Payments'!$D$2:$D$501,'All Payments'!$B$2:$B$501,A321,'All Payments'!$N$2:$N$501,"Approved")</f>
        <v/>
      </c>
    </row>
    <row r="322">
      <c r="A322" s="45">
        <f>A321+1</f>
        <v/>
      </c>
      <c r="B322">
        <f>COUNTIFS('All Payments'!$B$2:$B$501,A322,'All Payments'!$N$2:$N$501,"Approved")</f>
        <v/>
      </c>
      <c r="C322" s="47">
        <f>SUMIFS('All Payments'!$D$2:$D$501,'All Payments'!$B$2:$B$501,A322,'All Payments'!$N$2:$N$501,"Approved")</f>
        <v/>
      </c>
    </row>
    <row r="323">
      <c r="A323" s="45">
        <f>A322+1</f>
        <v/>
      </c>
      <c r="B323">
        <f>COUNTIFS('All Payments'!$B$2:$B$501,A323,'All Payments'!$N$2:$N$501,"Approved")</f>
        <v/>
      </c>
      <c r="C323" s="47">
        <f>SUMIFS('All Payments'!$D$2:$D$501,'All Payments'!$B$2:$B$501,A323,'All Payments'!$N$2:$N$501,"Approved")</f>
        <v/>
      </c>
    </row>
    <row r="324">
      <c r="A324" s="45">
        <f>A323+1</f>
        <v/>
      </c>
      <c r="B324">
        <f>COUNTIFS('All Payments'!$B$2:$B$501,A324,'All Payments'!$N$2:$N$501,"Approved")</f>
        <v/>
      </c>
      <c r="C324" s="47">
        <f>SUMIFS('All Payments'!$D$2:$D$501,'All Payments'!$B$2:$B$501,A324,'All Payments'!$N$2:$N$501,"Approved")</f>
        <v/>
      </c>
    </row>
    <row r="325">
      <c r="A325" s="45">
        <f>A324+1</f>
        <v/>
      </c>
      <c r="B325">
        <f>COUNTIFS('All Payments'!$B$2:$B$501,A325,'All Payments'!$N$2:$N$501,"Approved")</f>
        <v/>
      </c>
      <c r="C325" s="47">
        <f>SUMIFS('All Payments'!$D$2:$D$501,'All Payments'!$B$2:$B$501,A325,'All Payments'!$N$2:$N$501,"Approved")</f>
        <v/>
      </c>
    </row>
    <row r="326">
      <c r="A326" s="45">
        <f>A325+1</f>
        <v/>
      </c>
      <c r="B326">
        <f>COUNTIFS('All Payments'!$B$2:$B$501,A326,'All Payments'!$N$2:$N$501,"Approved")</f>
        <v/>
      </c>
      <c r="C326" s="47">
        <f>SUMIFS('All Payments'!$D$2:$D$501,'All Payments'!$B$2:$B$501,A326,'All Payments'!$N$2:$N$501,"Approved")</f>
        <v/>
      </c>
    </row>
    <row r="327">
      <c r="A327" s="45">
        <f>A326+1</f>
        <v/>
      </c>
      <c r="B327">
        <f>COUNTIFS('All Payments'!$B$2:$B$501,A327,'All Payments'!$N$2:$N$501,"Approved")</f>
        <v/>
      </c>
      <c r="C327" s="47">
        <f>SUMIFS('All Payments'!$D$2:$D$501,'All Payments'!$B$2:$B$501,A327,'All Payments'!$N$2:$N$501,"Approved")</f>
        <v/>
      </c>
    </row>
    <row r="328">
      <c r="A328" s="45">
        <f>A327+1</f>
        <v/>
      </c>
      <c r="B328">
        <f>COUNTIFS('All Payments'!$B$2:$B$501,A328,'All Payments'!$N$2:$N$501,"Approved")</f>
        <v/>
      </c>
      <c r="C328" s="47">
        <f>SUMIFS('All Payments'!$D$2:$D$501,'All Payments'!$B$2:$B$501,A328,'All Payments'!$N$2:$N$501,"Approved")</f>
        <v/>
      </c>
    </row>
    <row r="329">
      <c r="A329" s="45">
        <f>A328+1</f>
        <v/>
      </c>
      <c r="B329">
        <f>COUNTIFS('All Payments'!$B$2:$B$501,A329,'All Payments'!$N$2:$N$501,"Approved")</f>
        <v/>
      </c>
      <c r="C329" s="47">
        <f>SUMIFS('All Payments'!$D$2:$D$501,'All Payments'!$B$2:$B$501,A329,'All Payments'!$N$2:$N$501,"Approved")</f>
        <v/>
      </c>
    </row>
    <row r="330">
      <c r="A330" s="45">
        <f>A329+1</f>
        <v/>
      </c>
      <c r="B330">
        <f>COUNTIFS('All Payments'!$B$2:$B$501,A330,'All Payments'!$N$2:$N$501,"Approved")</f>
        <v/>
      </c>
      <c r="C330" s="47">
        <f>SUMIFS('All Payments'!$D$2:$D$501,'All Payments'!$B$2:$B$501,A330,'All Payments'!$N$2:$N$501,"Approved")</f>
        <v/>
      </c>
    </row>
    <row r="331">
      <c r="A331" s="45">
        <f>A330+1</f>
        <v/>
      </c>
      <c r="B331">
        <f>COUNTIFS('All Payments'!$B$2:$B$501,A331,'All Payments'!$N$2:$N$501,"Approved")</f>
        <v/>
      </c>
      <c r="C331" s="47">
        <f>SUMIFS('All Payments'!$D$2:$D$501,'All Payments'!$B$2:$B$501,A331,'All Payments'!$N$2:$N$501,"Approved")</f>
        <v/>
      </c>
    </row>
    <row r="332">
      <c r="A332" s="45">
        <f>A331+1</f>
        <v/>
      </c>
      <c r="B332">
        <f>COUNTIFS('All Payments'!$B$2:$B$501,A332,'All Payments'!$N$2:$N$501,"Approved")</f>
        <v/>
      </c>
      <c r="C332" s="47">
        <f>SUMIFS('All Payments'!$D$2:$D$501,'All Payments'!$B$2:$B$501,A332,'All Payments'!$N$2:$N$501,"Approved")</f>
        <v/>
      </c>
    </row>
    <row r="333">
      <c r="A333" s="45">
        <f>A332+1</f>
        <v/>
      </c>
      <c r="B333">
        <f>COUNTIFS('All Payments'!$B$2:$B$501,A333,'All Payments'!$N$2:$N$501,"Approved")</f>
        <v/>
      </c>
      <c r="C333" s="47">
        <f>SUMIFS('All Payments'!$D$2:$D$501,'All Payments'!$B$2:$B$501,A333,'All Payments'!$N$2:$N$501,"Approved")</f>
        <v/>
      </c>
    </row>
    <row r="334">
      <c r="A334" s="45">
        <f>A333+1</f>
        <v/>
      </c>
      <c r="B334">
        <f>COUNTIFS('All Payments'!$B$2:$B$501,A334,'All Payments'!$N$2:$N$501,"Approved")</f>
        <v/>
      </c>
      <c r="C334" s="47">
        <f>SUMIFS('All Payments'!$D$2:$D$501,'All Payments'!$B$2:$B$501,A334,'All Payments'!$N$2:$N$501,"Approved")</f>
        <v/>
      </c>
    </row>
    <row r="335">
      <c r="A335" s="45">
        <f>A334+1</f>
        <v/>
      </c>
      <c r="B335">
        <f>COUNTIFS('All Payments'!$B$2:$B$501,A335,'All Payments'!$N$2:$N$501,"Approved")</f>
        <v/>
      </c>
      <c r="C335" s="47">
        <f>SUMIFS('All Payments'!$D$2:$D$501,'All Payments'!$B$2:$B$501,A335,'All Payments'!$N$2:$N$501,"Approved")</f>
        <v/>
      </c>
    </row>
    <row r="336">
      <c r="A336" s="45">
        <f>A335+1</f>
        <v/>
      </c>
      <c r="B336">
        <f>COUNTIFS('All Payments'!$B$2:$B$501,A336,'All Payments'!$N$2:$N$501,"Approved")</f>
        <v/>
      </c>
      <c r="C336" s="47">
        <f>SUMIFS('All Payments'!$D$2:$D$501,'All Payments'!$B$2:$B$501,A336,'All Payments'!$N$2:$N$501,"Approved")</f>
        <v/>
      </c>
    </row>
    <row r="337">
      <c r="A337" s="45">
        <f>A336+1</f>
        <v/>
      </c>
      <c r="B337">
        <f>COUNTIFS('All Payments'!$B$2:$B$501,A337,'All Payments'!$N$2:$N$501,"Approved")</f>
        <v/>
      </c>
      <c r="C337" s="47">
        <f>SUMIFS('All Payments'!$D$2:$D$501,'All Payments'!$B$2:$B$501,A337,'All Payments'!$N$2:$N$501,"Approved")</f>
        <v/>
      </c>
    </row>
    <row r="338">
      <c r="A338" s="45">
        <f>A337+1</f>
        <v/>
      </c>
      <c r="B338">
        <f>COUNTIFS('All Payments'!$B$2:$B$501,A338,'All Payments'!$N$2:$N$501,"Approved")</f>
        <v/>
      </c>
      <c r="C338" s="47">
        <f>SUMIFS('All Payments'!$D$2:$D$501,'All Payments'!$B$2:$B$501,A338,'All Payments'!$N$2:$N$501,"Approved")</f>
        <v/>
      </c>
    </row>
    <row r="339">
      <c r="A339" s="45">
        <f>A338+1</f>
        <v/>
      </c>
      <c r="B339">
        <f>COUNTIFS('All Payments'!$B$2:$B$501,A339,'All Payments'!$N$2:$N$501,"Approved")</f>
        <v/>
      </c>
      <c r="C339" s="47">
        <f>SUMIFS('All Payments'!$D$2:$D$501,'All Payments'!$B$2:$B$501,A339,'All Payments'!$N$2:$N$501,"Approved")</f>
        <v/>
      </c>
    </row>
    <row r="340">
      <c r="A340" s="45">
        <f>A339+1</f>
        <v/>
      </c>
      <c r="B340">
        <f>COUNTIFS('All Payments'!$B$2:$B$501,A340,'All Payments'!$N$2:$N$501,"Approved")</f>
        <v/>
      </c>
      <c r="C340" s="47">
        <f>SUMIFS('All Payments'!$D$2:$D$501,'All Payments'!$B$2:$B$501,A340,'All Payments'!$N$2:$N$501,"Approved")</f>
        <v/>
      </c>
    </row>
    <row r="341">
      <c r="A341" s="45">
        <f>A340+1</f>
        <v/>
      </c>
      <c r="B341">
        <f>COUNTIFS('All Payments'!$B$2:$B$501,A341,'All Payments'!$N$2:$N$501,"Approved")</f>
        <v/>
      </c>
      <c r="C341" s="47">
        <f>SUMIFS('All Payments'!$D$2:$D$501,'All Payments'!$B$2:$B$501,A341,'All Payments'!$N$2:$N$501,"Approved")</f>
        <v/>
      </c>
    </row>
    <row r="342">
      <c r="A342" s="45">
        <f>A341+1</f>
        <v/>
      </c>
      <c r="B342">
        <f>COUNTIFS('All Payments'!$B$2:$B$501,A342,'All Payments'!$N$2:$N$501,"Approved")</f>
        <v/>
      </c>
      <c r="C342" s="47">
        <f>SUMIFS('All Payments'!$D$2:$D$501,'All Payments'!$B$2:$B$501,A342,'All Payments'!$N$2:$N$501,"Approved")</f>
        <v/>
      </c>
    </row>
    <row r="343">
      <c r="A343" s="45">
        <f>A342+1</f>
        <v/>
      </c>
      <c r="B343">
        <f>COUNTIFS('All Payments'!$B$2:$B$501,A343,'All Payments'!$N$2:$N$501,"Approved")</f>
        <v/>
      </c>
      <c r="C343" s="47">
        <f>SUMIFS('All Payments'!$D$2:$D$501,'All Payments'!$B$2:$B$501,A343,'All Payments'!$N$2:$N$501,"Approved")</f>
        <v/>
      </c>
    </row>
    <row r="344">
      <c r="A344" s="45">
        <f>A343+1</f>
        <v/>
      </c>
      <c r="B344">
        <f>COUNTIFS('All Payments'!$B$2:$B$501,A344,'All Payments'!$N$2:$N$501,"Approved")</f>
        <v/>
      </c>
      <c r="C344" s="47">
        <f>SUMIFS('All Payments'!$D$2:$D$501,'All Payments'!$B$2:$B$501,A344,'All Payments'!$N$2:$N$501,"Approved")</f>
        <v/>
      </c>
    </row>
    <row r="345">
      <c r="A345" s="45">
        <f>A344+1</f>
        <v/>
      </c>
      <c r="B345">
        <f>COUNTIFS('All Payments'!$B$2:$B$501,A345,'All Payments'!$N$2:$N$501,"Approved")</f>
        <v/>
      </c>
      <c r="C345" s="47">
        <f>SUMIFS('All Payments'!$D$2:$D$501,'All Payments'!$B$2:$B$501,A345,'All Payments'!$N$2:$N$501,"Approved")</f>
        <v/>
      </c>
    </row>
    <row r="346">
      <c r="A346" s="45">
        <f>A345+1</f>
        <v/>
      </c>
      <c r="B346">
        <f>COUNTIFS('All Payments'!$B$2:$B$501,A346,'All Payments'!$N$2:$N$501,"Approved")</f>
        <v/>
      </c>
      <c r="C346" s="47">
        <f>SUMIFS('All Payments'!$D$2:$D$501,'All Payments'!$B$2:$B$501,A346,'All Payments'!$N$2:$N$501,"Approved")</f>
        <v/>
      </c>
    </row>
    <row r="347">
      <c r="A347" s="45">
        <f>A346+1</f>
        <v/>
      </c>
      <c r="B347">
        <f>COUNTIFS('All Payments'!$B$2:$B$501,A347,'All Payments'!$N$2:$N$501,"Approved")</f>
        <v/>
      </c>
      <c r="C347" s="47">
        <f>SUMIFS('All Payments'!$D$2:$D$501,'All Payments'!$B$2:$B$501,A347,'All Payments'!$N$2:$N$501,"Approved")</f>
        <v/>
      </c>
    </row>
    <row r="348">
      <c r="A348" s="45">
        <f>A347+1</f>
        <v/>
      </c>
      <c r="B348">
        <f>COUNTIFS('All Payments'!$B$2:$B$501,A348,'All Payments'!$N$2:$N$501,"Approved")</f>
        <v/>
      </c>
      <c r="C348" s="47">
        <f>SUMIFS('All Payments'!$D$2:$D$501,'All Payments'!$B$2:$B$501,A348,'All Payments'!$N$2:$N$501,"Approved")</f>
        <v/>
      </c>
    </row>
    <row r="349">
      <c r="A349" s="45">
        <f>A348+1</f>
        <v/>
      </c>
      <c r="B349">
        <f>COUNTIFS('All Payments'!$B$2:$B$501,A349,'All Payments'!$N$2:$N$501,"Approved")</f>
        <v/>
      </c>
      <c r="C349" s="47">
        <f>SUMIFS('All Payments'!$D$2:$D$501,'All Payments'!$B$2:$B$501,A349,'All Payments'!$N$2:$N$501,"Approved")</f>
        <v/>
      </c>
    </row>
    <row r="350">
      <c r="A350" s="45">
        <f>A349+1</f>
        <v/>
      </c>
      <c r="B350">
        <f>COUNTIFS('All Payments'!$B$2:$B$501,A350,'All Payments'!$N$2:$N$501,"Approved")</f>
        <v/>
      </c>
      <c r="C350" s="47">
        <f>SUMIFS('All Payments'!$D$2:$D$501,'All Payments'!$B$2:$B$501,A350,'All Payments'!$N$2:$N$501,"Approved")</f>
        <v/>
      </c>
    </row>
    <row r="351">
      <c r="A351" s="45">
        <f>A350+1</f>
        <v/>
      </c>
      <c r="B351">
        <f>COUNTIFS('All Payments'!$B$2:$B$501,A351,'All Payments'!$N$2:$N$501,"Approved")</f>
        <v/>
      </c>
      <c r="C351" s="47">
        <f>SUMIFS('All Payments'!$D$2:$D$501,'All Payments'!$B$2:$B$501,A351,'All Payments'!$N$2:$N$501,"Approved")</f>
        <v/>
      </c>
    </row>
    <row r="352">
      <c r="A352" s="45">
        <f>A351+1</f>
        <v/>
      </c>
      <c r="B352">
        <f>COUNTIFS('All Payments'!$B$2:$B$501,A352,'All Payments'!$N$2:$N$501,"Approved")</f>
        <v/>
      </c>
      <c r="C352" s="47">
        <f>SUMIFS('All Payments'!$D$2:$D$501,'All Payments'!$B$2:$B$501,A352,'All Payments'!$N$2:$N$501,"Approved")</f>
        <v/>
      </c>
    </row>
    <row r="353">
      <c r="A353" s="45">
        <f>A352+1</f>
        <v/>
      </c>
      <c r="B353">
        <f>COUNTIFS('All Payments'!$B$2:$B$501,A353,'All Payments'!$N$2:$N$501,"Approved")</f>
        <v/>
      </c>
      <c r="C353" s="47">
        <f>SUMIFS('All Payments'!$D$2:$D$501,'All Payments'!$B$2:$B$501,A353,'All Payments'!$N$2:$N$501,"Approved")</f>
        <v/>
      </c>
    </row>
    <row r="354">
      <c r="A354" s="45">
        <f>A353+1</f>
        <v/>
      </c>
      <c r="B354">
        <f>COUNTIFS('All Payments'!$B$2:$B$501,A354,'All Payments'!$N$2:$N$501,"Approved")</f>
        <v/>
      </c>
      <c r="C354" s="47">
        <f>SUMIFS('All Payments'!$D$2:$D$501,'All Payments'!$B$2:$B$501,A354,'All Payments'!$N$2:$N$501,"Approved")</f>
        <v/>
      </c>
    </row>
    <row r="355">
      <c r="A355" s="45">
        <f>A354+1</f>
        <v/>
      </c>
      <c r="B355">
        <f>COUNTIFS('All Payments'!$B$2:$B$501,A355,'All Payments'!$N$2:$N$501,"Approved")</f>
        <v/>
      </c>
      <c r="C355" s="47">
        <f>SUMIFS('All Payments'!$D$2:$D$501,'All Payments'!$B$2:$B$501,A355,'All Payments'!$N$2:$N$501,"Approved")</f>
        <v/>
      </c>
    </row>
    <row r="356">
      <c r="A356" s="45">
        <f>A355+1</f>
        <v/>
      </c>
      <c r="B356">
        <f>COUNTIFS('All Payments'!$B$2:$B$501,A356,'All Payments'!$N$2:$N$501,"Approved")</f>
        <v/>
      </c>
      <c r="C356" s="47">
        <f>SUMIFS('All Payments'!$D$2:$D$501,'All Payments'!$B$2:$B$501,A356,'All Payments'!$N$2:$N$501,"Approved")</f>
        <v/>
      </c>
    </row>
    <row r="357">
      <c r="A357" s="45">
        <f>A356+1</f>
        <v/>
      </c>
      <c r="B357">
        <f>COUNTIFS('All Payments'!$B$2:$B$501,A357,'All Payments'!$N$2:$N$501,"Approved")</f>
        <v/>
      </c>
      <c r="C357" s="47">
        <f>SUMIFS('All Payments'!$D$2:$D$501,'All Payments'!$B$2:$B$501,A357,'All Payments'!$N$2:$N$501,"Approved")</f>
        <v/>
      </c>
    </row>
    <row r="358">
      <c r="A358" s="45">
        <f>A357+1</f>
        <v/>
      </c>
      <c r="B358">
        <f>COUNTIFS('All Payments'!$B$2:$B$501,A358,'All Payments'!$N$2:$N$501,"Approved")</f>
        <v/>
      </c>
      <c r="C358" s="47">
        <f>SUMIFS('All Payments'!$D$2:$D$501,'All Payments'!$B$2:$B$501,A358,'All Payments'!$N$2:$N$501,"Approved")</f>
        <v/>
      </c>
    </row>
    <row r="359">
      <c r="A359" s="45">
        <f>A358+1</f>
        <v/>
      </c>
      <c r="B359">
        <f>COUNTIFS('All Payments'!$B$2:$B$501,A359,'All Payments'!$N$2:$N$501,"Approved")</f>
        <v/>
      </c>
      <c r="C359" s="47">
        <f>SUMIFS('All Payments'!$D$2:$D$501,'All Payments'!$B$2:$B$501,A359,'All Payments'!$N$2:$N$501,"Approved")</f>
        <v/>
      </c>
    </row>
    <row r="360">
      <c r="A360" s="45">
        <f>A359+1</f>
        <v/>
      </c>
      <c r="B360">
        <f>COUNTIFS('All Payments'!$B$2:$B$501,A360,'All Payments'!$N$2:$N$501,"Approved")</f>
        <v/>
      </c>
      <c r="C360" s="47">
        <f>SUMIFS('All Payments'!$D$2:$D$501,'All Payments'!$B$2:$B$501,A360,'All Payments'!$N$2:$N$501,"Approved")</f>
        <v/>
      </c>
    </row>
    <row r="361">
      <c r="A361" s="45">
        <f>A360+1</f>
        <v/>
      </c>
      <c r="B361">
        <f>COUNTIFS('All Payments'!$B$2:$B$501,A361,'All Payments'!$N$2:$N$501,"Approved")</f>
        <v/>
      </c>
      <c r="C361" s="47">
        <f>SUMIFS('All Payments'!$D$2:$D$501,'All Payments'!$B$2:$B$501,A361,'All Payments'!$N$2:$N$501,"Approved")</f>
        <v/>
      </c>
    </row>
    <row r="362">
      <c r="A362" s="45">
        <f>A361+1</f>
        <v/>
      </c>
      <c r="B362">
        <f>COUNTIFS('All Payments'!$B$2:$B$501,A362,'All Payments'!$N$2:$N$501,"Approved")</f>
        <v/>
      </c>
      <c r="C362" s="47">
        <f>SUMIFS('All Payments'!$D$2:$D$501,'All Payments'!$B$2:$B$501,A362,'All Payments'!$N$2:$N$501,"Approved")</f>
        <v/>
      </c>
    </row>
    <row r="363">
      <c r="A363" s="45">
        <f>A362+1</f>
        <v/>
      </c>
      <c r="B363">
        <f>COUNTIFS('All Payments'!$B$2:$B$501,A363,'All Payments'!$N$2:$N$501,"Approved")</f>
        <v/>
      </c>
      <c r="C363" s="47">
        <f>SUMIFS('All Payments'!$D$2:$D$501,'All Payments'!$B$2:$B$501,A363,'All Payments'!$N$2:$N$501,"Approved")</f>
        <v/>
      </c>
    </row>
    <row r="364">
      <c r="A364" s="45">
        <f>A363+1</f>
        <v/>
      </c>
      <c r="B364">
        <f>COUNTIFS('All Payments'!$B$2:$B$501,A364,'All Payments'!$N$2:$N$501,"Approved")</f>
        <v/>
      </c>
      <c r="C364" s="47">
        <f>SUMIFS('All Payments'!$D$2:$D$501,'All Payments'!$B$2:$B$501,A364,'All Payments'!$N$2:$N$501,"Approved")</f>
        <v/>
      </c>
    </row>
    <row r="365">
      <c r="A365" s="45">
        <f>A364+1</f>
        <v/>
      </c>
      <c r="B365">
        <f>COUNTIFS('All Payments'!$B$2:$B$501,A365,'All Payments'!$N$2:$N$501,"Approved")</f>
        <v/>
      </c>
      <c r="C365" s="47">
        <f>SUMIFS('All Payments'!$D$2:$D$501,'All Payments'!$B$2:$B$501,A365,'All Payments'!$N$2:$N$501,"Approved")</f>
        <v/>
      </c>
    </row>
    <row r="366">
      <c r="A366" s="45">
        <f>A365+1</f>
        <v/>
      </c>
      <c r="B366">
        <f>COUNTIFS('All Payments'!$B$2:$B$501,A366,'All Payments'!$N$2:$N$501,"Approved")</f>
        <v/>
      </c>
      <c r="C366" s="47">
        <f>SUMIFS('All Payments'!$D$2:$D$501,'All Payments'!$B$2:$B$501,A366,'All Payments'!$N$2:$N$501,"Approved")</f>
        <v/>
      </c>
    </row>
    <row r="367">
      <c r="A367" s="45">
        <f>A366+1</f>
        <v/>
      </c>
      <c r="B367">
        <f>COUNTIFS('All Payments'!$B$2:$B$501,A367,'All Payments'!$N$2:$N$501,"Approved")</f>
        <v/>
      </c>
      <c r="C367" s="47">
        <f>SUMIFS('All Payments'!$D$2:$D$501,'All Payments'!$B$2:$B$501,A367,'All Payments'!$N$2:$N$501,"Approved")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8" customHeight="1">
      <c r="A1" s="34" t="inlineStr">
        <is>
          <t>Month</t>
        </is>
      </c>
      <c r="B1" s="34" t="inlineStr">
        <is>
          <t>No. of Payments</t>
        </is>
      </c>
      <c r="C1" s="34" t="inlineStr">
        <is>
          <t>Total Paid (₹)</t>
        </is>
      </c>
      <c r="D1" s="35" t="n"/>
      <c r="E1" s="35" t="n"/>
      <c r="F1" s="35" t="n"/>
      <c r="G1" s="35" t="n"/>
      <c r="H1" s="35" t="n"/>
      <c r="I1" s="35" t="n"/>
      <c r="J1" s="35" t="n"/>
      <c r="K1" s="35" t="n"/>
    </row>
    <row r="2">
      <c r="A2" s="49" t="n">
        <v>46023</v>
      </c>
      <c r="B2">
        <f>COUNTIFS('All Payments'!$B$2:$B$501,"&gt;="&amp;A2,'All Payments'!$B$2:$B$501,"&lt;"&amp;EDATE(A2,1),'All Payments'!$N$2:$N$501,"Approved")</f>
        <v/>
      </c>
      <c r="C2" s="47">
        <f>SUMIFS('All Payments'!$D$2:$D$501,'All Payments'!$B$2:$B$501,"&gt;="&amp;A2,'All Payments'!$B$2:$B$501,"&lt;"&amp;EDATE(A2,1),'All Payments'!$N$2:$N$501,"Approved")</f>
        <v/>
      </c>
    </row>
    <row r="3">
      <c r="A3" s="49" t="n">
        <v>46054</v>
      </c>
      <c r="B3">
        <f>COUNTIFS('All Payments'!$B$2:$B$501,"&gt;="&amp;A3,'All Payments'!$B$2:$B$501,"&lt;"&amp;EDATE(A3,1),'All Payments'!$N$2:$N$501,"Approved")</f>
        <v/>
      </c>
      <c r="C3" s="47">
        <f>SUMIFS('All Payments'!$D$2:$D$501,'All Payments'!$B$2:$B$501,"&gt;="&amp;A3,'All Payments'!$B$2:$B$501,"&lt;"&amp;EDATE(A3,1),'All Payments'!$N$2:$N$501,"Approved")</f>
        <v/>
      </c>
    </row>
    <row r="4">
      <c r="A4" s="49" t="n">
        <v>46082</v>
      </c>
      <c r="B4">
        <f>COUNTIFS('All Payments'!$B$2:$B$501,"&gt;="&amp;A4,'All Payments'!$B$2:$B$501,"&lt;"&amp;EDATE(A4,1),'All Payments'!$N$2:$N$501,"Approved")</f>
        <v/>
      </c>
      <c r="C4" s="47">
        <f>SUMIFS('All Payments'!$D$2:$D$501,'All Payments'!$B$2:$B$501,"&gt;="&amp;A4,'All Payments'!$B$2:$B$501,"&lt;"&amp;EDATE(A4,1),'All Payments'!$N$2:$N$501,"Approved")</f>
        <v/>
      </c>
    </row>
    <row r="5">
      <c r="A5" s="49" t="n">
        <v>46113</v>
      </c>
      <c r="B5">
        <f>COUNTIFS('All Payments'!$B$2:$B$501,"&gt;="&amp;A5,'All Payments'!$B$2:$B$501,"&lt;"&amp;EDATE(A5,1),'All Payments'!$N$2:$N$501,"Approved")</f>
        <v/>
      </c>
      <c r="C5" s="47">
        <f>SUMIFS('All Payments'!$D$2:$D$501,'All Payments'!$B$2:$B$501,"&gt;="&amp;A5,'All Payments'!$B$2:$B$501,"&lt;"&amp;EDATE(A5,1),'All Payments'!$N$2:$N$501,"Approved")</f>
        <v/>
      </c>
    </row>
    <row r="6">
      <c r="A6" s="49" t="n">
        <v>46143</v>
      </c>
      <c r="B6">
        <f>COUNTIFS('All Payments'!$B$2:$B$501,"&gt;="&amp;A6,'All Payments'!$B$2:$B$501,"&lt;"&amp;EDATE(A6,1),'All Payments'!$N$2:$N$501,"Approved")</f>
        <v/>
      </c>
      <c r="C6" s="47">
        <f>SUMIFS('All Payments'!$D$2:$D$501,'All Payments'!$B$2:$B$501,"&gt;="&amp;A6,'All Payments'!$B$2:$B$501,"&lt;"&amp;EDATE(A6,1),'All Payments'!$N$2:$N$501,"Approved")</f>
        <v/>
      </c>
    </row>
    <row r="7">
      <c r="A7" s="49" t="n">
        <v>46174</v>
      </c>
      <c r="B7">
        <f>COUNTIFS('All Payments'!$B$2:$B$501,"&gt;="&amp;A7,'All Payments'!$B$2:$B$501,"&lt;"&amp;EDATE(A7,1),'All Payments'!$N$2:$N$501,"Approved")</f>
        <v/>
      </c>
      <c r="C7" s="47">
        <f>SUMIFS('All Payments'!$D$2:$D$501,'All Payments'!$B$2:$B$501,"&gt;="&amp;A7,'All Payments'!$B$2:$B$501,"&lt;"&amp;EDATE(A7,1),'All Payments'!$N$2:$N$501,"Approved")</f>
        <v/>
      </c>
    </row>
    <row r="8">
      <c r="A8" s="49" t="n">
        <v>46204</v>
      </c>
      <c r="B8">
        <f>COUNTIFS('All Payments'!$B$2:$B$501,"&gt;="&amp;A8,'All Payments'!$B$2:$B$501,"&lt;"&amp;EDATE(A8,1),'All Payments'!$N$2:$N$501,"Approved")</f>
        <v/>
      </c>
      <c r="C8" s="47">
        <f>SUMIFS('All Payments'!$D$2:$D$501,'All Payments'!$B$2:$B$501,"&gt;="&amp;A8,'All Payments'!$B$2:$B$501,"&lt;"&amp;EDATE(A8,1),'All Payments'!$N$2:$N$501,"Approved")</f>
        <v/>
      </c>
    </row>
    <row r="9">
      <c r="A9" s="49" t="n">
        <v>46235</v>
      </c>
      <c r="B9">
        <f>COUNTIFS('All Payments'!$B$2:$B$501,"&gt;="&amp;A9,'All Payments'!$B$2:$B$501,"&lt;"&amp;EDATE(A9,1),'All Payments'!$N$2:$N$501,"Approved")</f>
        <v/>
      </c>
      <c r="C9" s="47">
        <f>SUMIFS('All Payments'!$D$2:$D$501,'All Payments'!$B$2:$B$501,"&gt;="&amp;A9,'All Payments'!$B$2:$B$501,"&lt;"&amp;EDATE(A9,1),'All Payments'!$N$2:$N$501,"Approved")</f>
        <v/>
      </c>
    </row>
    <row r="10">
      <c r="A10" s="49" t="n">
        <v>46266</v>
      </c>
      <c r="B10">
        <f>COUNTIFS('All Payments'!$B$2:$B$501,"&gt;="&amp;A10,'All Payments'!$B$2:$B$501,"&lt;"&amp;EDATE(A10,1),'All Payments'!$N$2:$N$501,"Approved")</f>
        <v/>
      </c>
      <c r="C10" s="47">
        <f>SUMIFS('All Payments'!$D$2:$D$501,'All Payments'!$B$2:$B$501,"&gt;="&amp;A10,'All Payments'!$B$2:$B$501,"&lt;"&amp;EDATE(A10,1),'All Payments'!$N$2:$N$501,"Approved")</f>
        <v/>
      </c>
    </row>
    <row r="11">
      <c r="A11" s="49" t="n">
        <v>46296</v>
      </c>
      <c r="B11">
        <f>COUNTIFS('All Payments'!$B$2:$B$501,"&gt;="&amp;A11,'All Payments'!$B$2:$B$501,"&lt;"&amp;EDATE(A11,1),'All Payments'!$N$2:$N$501,"Approved")</f>
        <v/>
      </c>
      <c r="C11" s="47">
        <f>SUMIFS('All Payments'!$D$2:$D$501,'All Payments'!$B$2:$B$501,"&gt;="&amp;A11,'All Payments'!$B$2:$B$501,"&lt;"&amp;EDATE(A11,1),'All Payments'!$N$2:$N$501,"Approved")</f>
        <v/>
      </c>
    </row>
    <row r="12">
      <c r="A12" s="49" t="n">
        <v>46327</v>
      </c>
      <c r="B12">
        <f>COUNTIFS('All Payments'!$B$2:$B$501,"&gt;="&amp;A12,'All Payments'!$B$2:$B$501,"&lt;"&amp;EDATE(A12,1),'All Payments'!$N$2:$N$501,"Approved")</f>
        <v/>
      </c>
      <c r="C12" s="47">
        <f>SUMIFS('All Payments'!$D$2:$D$501,'All Payments'!$B$2:$B$501,"&gt;="&amp;A12,'All Payments'!$B$2:$B$501,"&lt;"&amp;EDATE(A12,1),'All Payments'!$N$2:$N$501,"Approved")</f>
        <v/>
      </c>
    </row>
    <row r="13">
      <c r="A13" s="49" t="n">
        <v>46357</v>
      </c>
      <c r="B13">
        <f>COUNTIFS('All Payments'!$B$2:$B$501,"&gt;="&amp;A13,'All Payments'!$B$2:$B$501,"&lt;"&amp;EDATE(A13,1),'All Payments'!$N$2:$N$501,"Approved")</f>
        <v/>
      </c>
      <c r="C13" s="47">
        <f>SUMIFS('All Payments'!$D$2:$D$501,'All Payments'!$B$2:$B$501,"&gt;="&amp;A13,'All Payments'!$B$2:$B$501,"&lt;"&amp;EDATE(A13,1),'All Payments'!$N$2:$N$501,"Approved")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8" customHeight="1">
      <c r="A1" s="34" t="inlineStr">
        <is>
          <t>Project</t>
        </is>
      </c>
      <c r="B1" s="34" t="inlineStr">
        <is>
          <t>No. of Payments</t>
        </is>
      </c>
      <c r="C1" s="34" t="inlineStr">
        <is>
          <t>Total Paid (₹)</t>
        </is>
      </c>
      <c r="D1" s="34" t="inlineStr">
        <is>
          <t>% of Total</t>
        </is>
      </c>
      <c r="E1" s="35" t="n"/>
      <c r="F1" s="35" t="n"/>
      <c r="G1" s="35" t="n"/>
      <c r="H1" s="35" t="n"/>
      <c r="I1" s="35" t="n"/>
      <c r="J1" s="35" t="n"/>
      <c r="K1" s="35" t="n"/>
    </row>
    <row r="2">
      <c r="A2" t="inlineStr">
        <is>
          <t>Project A</t>
        </is>
      </c>
      <c r="B2">
        <f>COUNTIFS('All Payments'!$F$2:$F$501,A2,'All Payments'!$N$2:$N$501,"Approved")</f>
        <v/>
      </c>
      <c r="C2" s="47">
        <f>SUMIFS('All Payments'!$D$2:$D$501,'All Payments'!$F$2:$F$501,A2,'All Payments'!$N$2:$N$501,"Approved")</f>
        <v/>
      </c>
      <c r="D2" s="50">
        <f>IFERROR(C2/SUM($C$2:$C$6),0)</f>
        <v/>
      </c>
    </row>
    <row r="3">
      <c r="A3" t="inlineStr">
        <is>
          <t>Project B</t>
        </is>
      </c>
      <c r="B3">
        <f>COUNTIFS('All Payments'!$F$2:$F$501,A3,'All Payments'!$N$2:$N$501,"Approved")</f>
        <v/>
      </c>
      <c r="C3" s="47">
        <f>SUMIFS('All Payments'!$D$2:$D$501,'All Payments'!$F$2:$F$501,A3,'All Payments'!$N$2:$N$501,"Approved")</f>
        <v/>
      </c>
      <c r="D3" s="50">
        <f>IFERROR(C3/SUM($C$2:$C$6),0)</f>
        <v/>
      </c>
    </row>
    <row r="4">
      <c r="A4" t="inlineStr">
        <is>
          <t>Project C</t>
        </is>
      </c>
      <c r="B4">
        <f>COUNTIFS('All Payments'!$F$2:$F$501,A4,'All Payments'!$N$2:$N$501,"Approved")</f>
        <v/>
      </c>
      <c r="C4" s="47">
        <f>SUMIFS('All Payments'!$D$2:$D$501,'All Payments'!$F$2:$F$501,A4,'All Payments'!$N$2:$N$501,"Approved")</f>
        <v/>
      </c>
      <c r="D4" s="50">
        <f>IFERROR(C4/SUM($C$2:$C$6),0)</f>
        <v/>
      </c>
    </row>
    <row r="5">
      <c r="A5" t="inlineStr">
        <is>
          <t>General / Office</t>
        </is>
      </c>
      <c r="B5">
        <f>COUNTIFS('All Payments'!$F$2:$F$501,A5,'All Payments'!$N$2:$N$501,"Approved")</f>
        <v/>
      </c>
      <c r="C5" s="47">
        <f>SUMIFS('All Payments'!$D$2:$D$501,'All Payments'!$F$2:$F$501,A5,'All Payments'!$N$2:$N$501,"Approved")</f>
        <v/>
      </c>
      <c r="D5" s="50">
        <f>IFERROR(C5/SUM($C$2:$C$6),0)</f>
        <v/>
      </c>
    </row>
    <row r="6">
      <c r="A6" t="inlineStr">
        <is>
          <t>Unassigned</t>
        </is>
      </c>
      <c r="B6">
        <f>COUNTIFS('All Payments'!$F$2:$F$501,A6,'All Payments'!$N$2:$N$501,"Approved")</f>
        <v/>
      </c>
      <c r="C6" s="47">
        <f>SUMIFS('All Payments'!$D$2:$D$501,'All Payments'!$F$2:$F$501,A6,'All Payments'!$N$2:$N$501,"Approved")</f>
        <v/>
      </c>
      <c r="D6" s="50">
        <f>IFERROR(C6/SUM($C$2:$C$6),0)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8" customHeight="1">
      <c r="A1" s="34" t="inlineStr">
        <is>
          <t>Category</t>
        </is>
      </c>
      <c r="B1" s="34" t="inlineStr">
        <is>
          <t>No. of Payments</t>
        </is>
      </c>
      <c r="C1" s="34" t="inlineStr">
        <is>
          <t>Total Paid (₹)</t>
        </is>
      </c>
      <c r="D1" s="35" t="n"/>
      <c r="E1" s="35" t="n"/>
      <c r="F1" s="35" t="n"/>
      <c r="G1" s="35" t="n"/>
      <c r="H1" s="35" t="n"/>
      <c r="I1" s="35" t="n"/>
      <c r="J1" s="35" t="n"/>
      <c r="K1" s="35" t="n"/>
    </row>
    <row r="2">
      <c r="A2" t="inlineStr">
        <is>
          <t>Material</t>
        </is>
      </c>
      <c r="B2">
        <f>COUNTIFS('All Payments'!$G$2:$G$501,A2,'All Payments'!$N$2:$N$501,"Approved")</f>
        <v/>
      </c>
      <c r="C2" s="47">
        <f>SUMIFS('All Payments'!$D$2:$D$501,'All Payments'!$G$2:$G$501,A2,'All Payments'!$N$2:$N$501,"Approved")</f>
        <v/>
      </c>
    </row>
    <row r="3">
      <c r="A3" t="inlineStr">
        <is>
          <t>Labour</t>
        </is>
      </c>
      <c r="B3">
        <f>COUNTIFS('All Payments'!$G$2:$G$501,A3,'All Payments'!$N$2:$N$501,"Approved")</f>
        <v/>
      </c>
      <c r="C3" s="47">
        <f>SUMIFS('All Payments'!$D$2:$D$501,'All Payments'!$G$2:$G$501,A3,'All Payments'!$N$2:$N$501,"Approved")</f>
        <v/>
      </c>
    </row>
    <row r="4">
      <c r="A4" t="inlineStr">
        <is>
          <t>Transport</t>
        </is>
      </c>
      <c r="B4">
        <f>COUNTIFS('All Payments'!$G$2:$G$501,A4,'All Payments'!$N$2:$N$501,"Approved")</f>
        <v/>
      </c>
      <c r="C4" s="47">
        <f>SUMIFS('All Payments'!$D$2:$D$501,'All Payments'!$G$2:$G$501,A4,'All Payments'!$N$2:$N$501,"Approved")</f>
        <v/>
      </c>
    </row>
    <row r="5">
      <c r="A5" t="inlineStr">
        <is>
          <t>Fuel</t>
        </is>
      </c>
      <c r="B5">
        <f>COUNTIFS('All Payments'!$G$2:$G$501,A5,'All Payments'!$N$2:$N$501,"Approved")</f>
        <v/>
      </c>
      <c r="C5" s="47">
        <f>SUMIFS('All Payments'!$D$2:$D$501,'All Payments'!$G$2:$G$501,A5,'All Payments'!$N$2:$N$501,"Approved")</f>
        <v/>
      </c>
    </row>
    <row r="6">
      <c r="A6" t="inlineStr">
        <is>
          <t>Machinery</t>
        </is>
      </c>
      <c r="B6">
        <f>COUNTIFS('All Payments'!$G$2:$G$501,A6,'All Payments'!$N$2:$N$501,"Approved")</f>
        <v/>
      </c>
      <c r="C6" s="47">
        <f>SUMIFS('All Payments'!$D$2:$D$501,'All Payments'!$G$2:$G$501,A6,'All Payments'!$N$2:$N$501,"Approved")</f>
        <v/>
      </c>
    </row>
    <row r="7">
      <c r="A7" t="inlineStr">
        <is>
          <t>Contractor / Subcontractor</t>
        </is>
      </c>
      <c r="B7">
        <f>COUNTIFS('All Payments'!$G$2:$G$501,A7,'All Payments'!$N$2:$N$501,"Approved")</f>
        <v/>
      </c>
      <c r="C7" s="47">
        <f>SUMIFS('All Payments'!$D$2:$D$501,'All Payments'!$G$2:$G$501,A7,'All Payments'!$N$2:$N$501,"Approved")</f>
        <v/>
      </c>
    </row>
    <row r="8">
      <c r="A8" t="inlineStr">
        <is>
          <t>Equipment</t>
        </is>
      </c>
      <c r="B8">
        <f>COUNTIFS('All Payments'!$G$2:$G$501,A8,'All Payments'!$N$2:$N$501,"Approved")</f>
        <v/>
      </c>
      <c r="C8" s="47">
        <f>SUMIFS('All Payments'!$D$2:$D$501,'All Payments'!$G$2:$G$501,A8,'All Payments'!$N$2:$N$501,"Approved")</f>
        <v/>
      </c>
    </row>
    <row r="9">
      <c r="A9" t="inlineStr">
        <is>
          <t>Site Expense</t>
        </is>
      </c>
      <c r="B9">
        <f>COUNTIFS('All Payments'!$G$2:$G$501,A9,'All Payments'!$N$2:$N$501,"Approved")</f>
        <v/>
      </c>
      <c r="C9" s="47">
        <f>SUMIFS('All Payments'!$D$2:$D$501,'All Payments'!$G$2:$G$501,A9,'All Payments'!$N$2:$N$501,"Approved")</f>
        <v/>
      </c>
    </row>
    <row r="10">
      <c r="A10" t="inlineStr">
        <is>
          <t>Office Expense</t>
        </is>
      </c>
      <c r="B10">
        <f>COUNTIFS('All Payments'!$G$2:$G$501,A10,'All Payments'!$N$2:$N$501,"Approved")</f>
        <v/>
      </c>
      <c r="C10" s="47">
        <f>SUMIFS('All Payments'!$D$2:$D$501,'All Payments'!$G$2:$G$501,A10,'All Payments'!$N$2:$N$501,"Approved")</f>
        <v/>
      </c>
    </row>
    <row r="11">
      <c r="A11" t="inlineStr">
        <is>
          <t>Advance Payment</t>
        </is>
      </c>
      <c r="B11">
        <f>COUNTIFS('All Payments'!$G$2:$G$501,A11,'All Payments'!$N$2:$N$501,"Approved")</f>
        <v/>
      </c>
      <c r="C11" s="47">
        <f>SUMIFS('All Payments'!$D$2:$D$501,'All Payments'!$G$2:$G$501,A11,'All Payments'!$N$2:$N$501,"Approved")</f>
        <v/>
      </c>
    </row>
    <row r="12">
      <c r="A12" t="inlineStr">
        <is>
          <t>Salary</t>
        </is>
      </c>
      <c r="B12">
        <f>COUNTIFS('All Payments'!$G$2:$G$501,A12,'All Payments'!$N$2:$N$501,"Approved")</f>
        <v/>
      </c>
      <c r="C12" s="47">
        <f>SUMIFS('All Payments'!$D$2:$D$501,'All Payments'!$G$2:$G$501,A12,'All Payments'!$N$2:$N$501,"Approved")</f>
        <v/>
      </c>
    </row>
    <row r="13">
      <c r="A13" t="inlineStr">
        <is>
          <t>Food / Accommodation</t>
        </is>
      </c>
      <c r="B13">
        <f>COUNTIFS('All Payments'!$G$2:$G$501,A13,'All Payments'!$N$2:$N$501,"Approved")</f>
        <v/>
      </c>
      <c r="C13" s="47">
        <f>SUMIFS('All Payments'!$D$2:$D$501,'All Payments'!$G$2:$G$501,A13,'All Payments'!$N$2:$N$501,"Approved")</f>
        <v/>
      </c>
    </row>
    <row r="14">
      <c r="A14" t="inlineStr">
        <is>
          <t>Other</t>
        </is>
      </c>
      <c r="B14">
        <f>COUNTIFS('All Payments'!$G$2:$G$501,A14,'All Payments'!$N$2:$N$501,"Approved")</f>
        <v/>
      </c>
      <c r="C14" s="47">
        <f>SUMIFS('All Payments'!$D$2:$D$501,'All Payments'!$G$2:$G$501,A14,'All Payments'!$N$2:$N$501,"Approved")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8" customHeight="1">
      <c r="A1" s="34" t="inlineStr">
        <is>
          <t>Transaction ID</t>
        </is>
      </c>
      <c r="B1" s="34" t="inlineStr">
        <is>
          <t>Date</t>
        </is>
      </c>
      <c r="C1" s="34" t="inlineStr">
        <is>
          <t>Amount (₹)</t>
        </is>
      </c>
      <c r="D1" s="34" t="inlineStr">
        <is>
          <t>Paid To</t>
        </is>
      </c>
      <c r="E1" s="34" t="inlineStr">
        <is>
          <t>Detected Project</t>
        </is>
      </c>
      <c r="F1" s="34" t="inlineStr">
        <is>
          <t>Detected Category</t>
        </is>
      </c>
      <c r="G1" s="34" t="inlineStr">
        <is>
          <t>Reason for Review</t>
        </is>
      </c>
      <c r="H1" s="34" t="inlineStr">
        <is>
          <t>Final Decision</t>
        </is>
      </c>
      <c r="I1" s="35" t="n"/>
      <c r="J1" s="35" t="n"/>
      <c r="K1" s="35" t="n"/>
    </row>
    <row r="2">
      <c r="B2" s="45" t="n"/>
      <c r="C2" s="47" t="n"/>
    </row>
    <row r="3">
      <c r="B3" s="45" t="n"/>
      <c r="C3" s="47" t="n"/>
    </row>
    <row r="4">
      <c r="B4" s="45" t="n"/>
      <c r="C4" s="47" t="n"/>
    </row>
    <row r="5">
      <c r="B5" s="45" t="n"/>
      <c r="C5" s="47" t="n"/>
    </row>
    <row r="6">
      <c r="B6" s="45" t="n"/>
      <c r="C6" s="47" t="n"/>
    </row>
    <row r="7">
      <c r="B7" s="45" t="n"/>
      <c r="C7" s="47" t="n"/>
    </row>
    <row r="8">
      <c r="B8" s="45" t="n"/>
      <c r="C8" s="47" t="n"/>
    </row>
    <row r="9">
      <c r="B9" s="45" t="n"/>
      <c r="C9" s="47" t="n"/>
    </row>
    <row r="10">
      <c r="B10" s="45" t="n"/>
      <c r="C10" s="47" t="n"/>
    </row>
    <row r="11">
      <c r="B11" s="45" t="n"/>
      <c r="C11" s="47" t="n"/>
    </row>
    <row r="12">
      <c r="B12" s="45" t="n"/>
      <c r="C12" s="47" t="n"/>
    </row>
    <row r="13">
      <c r="B13" s="45" t="n"/>
      <c r="C13" s="47" t="n"/>
    </row>
    <row r="14">
      <c r="B14" s="45" t="n"/>
      <c r="C14" s="47" t="n"/>
    </row>
    <row r="15">
      <c r="B15" s="45" t="n"/>
      <c r="C15" s="47" t="n"/>
    </row>
    <row r="16">
      <c r="B16" s="45" t="n"/>
      <c r="C16" s="47" t="n"/>
    </row>
    <row r="17">
      <c r="B17" s="45" t="n"/>
      <c r="C17" s="47" t="n"/>
    </row>
    <row r="18">
      <c r="B18" s="45" t="n"/>
      <c r="C18" s="47" t="n"/>
    </row>
    <row r="19">
      <c r="B19" s="45" t="n"/>
      <c r="C19" s="47" t="n"/>
    </row>
    <row r="20">
      <c r="B20" s="45" t="n"/>
      <c r="C20" s="47" t="n"/>
    </row>
    <row r="21">
      <c r="B21" s="45" t="n"/>
      <c r="C21" s="47" t="n"/>
    </row>
    <row r="22">
      <c r="B22" s="45" t="n"/>
      <c r="C22" s="47" t="n"/>
    </row>
    <row r="23">
      <c r="B23" s="45" t="n"/>
      <c r="C23" s="47" t="n"/>
    </row>
    <row r="24">
      <c r="B24" s="45" t="n"/>
      <c r="C24" s="47" t="n"/>
    </row>
    <row r="25">
      <c r="B25" s="45" t="n"/>
      <c r="C25" s="47" t="n"/>
    </row>
    <row r="26">
      <c r="B26" s="45" t="n"/>
      <c r="C26" s="47" t="n"/>
    </row>
    <row r="27">
      <c r="B27" s="45" t="n"/>
      <c r="C27" s="47" t="n"/>
    </row>
    <row r="28">
      <c r="B28" s="45" t="n"/>
      <c r="C28" s="47" t="n"/>
    </row>
    <row r="29">
      <c r="B29" s="45" t="n"/>
      <c r="C29" s="47" t="n"/>
    </row>
    <row r="30">
      <c r="B30" s="45" t="n"/>
      <c r="C30" s="47" t="n"/>
    </row>
    <row r="31">
      <c r="B31" s="45" t="n"/>
      <c r="C31" s="47" t="n"/>
    </row>
    <row r="32">
      <c r="B32" s="45" t="n"/>
      <c r="C32" s="47" t="n"/>
    </row>
    <row r="33">
      <c r="B33" s="45" t="n"/>
      <c r="C33" s="47" t="n"/>
    </row>
    <row r="34">
      <c r="B34" s="45" t="n"/>
      <c r="C34" s="47" t="n"/>
    </row>
    <row r="35">
      <c r="B35" s="45" t="n"/>
      <c r="C35" s="47" t="n"/>
    </row>
    <row r="36">
      <c r="B36" s="45" t="n"/>
      <c r="C36" s="47" t="n"/>
    </row>
    <row r="37">
      <c r="B37" s="45" t="n"/>
      <c r="C37" s="47" t="n"/>
    </row>
    <row r="38">
      <c r="B38" s="45" t="n"/>
      <c r="C38" s="47" t="n"/>
    </row>
    <row r="39">
      <c r="B39" s="45" t="n"/>
      <c r="C39" s="47" t="n"/>
    </row>
    <row r="40">
      <c r="B40" s="45" t="n"/>
      <c r="C40" s="47" t="n"/>
    </row>
    <row r="41">
      <c r="B41" s="45" t="n"/>
      <c r="C41" s="47" t="n"/>
    </row>
    <row r="42">
      <c r="B42" s="45" t="n"/>
      <c r="C42" s="47" t="n"/>
    </row>
    <row r="43">
      <c r="B43" s="45" t="n"/>
      <c r="C43" s="47" t="n"/>
    </row>
    <row r="44">
      <c r="B44" s="45" t="n"/>
      <c r="C44" s="47" t="n"/>
    </row>
    <row r="45">
      <c r="B45" s="45" t="n"/>
      <c r="C45" s="47" t="n"/>
    </row>
    <row r="46">
      <c r="B46" s="45" t="n"/>
      <c r="C46" s="47" t="n"/>
    </row>
    <row r="47">
      <c r="B47" s="45" t="n"/>
      <c r="C47" s="47" t="n"/>
    </row>
    <row r="48">
      <c r="B48" s="45" t="n"/>
      <c r="C48" s="47" t="n"/>
    </row>
    <row r="49">
      <c r="B49" s="45" t="n"/>
      <c r="C49" s="47" t="n"/>
    </row>
    <row r="50">
      <c r="B50" s="45" t="n"/>
      <c r="C50" s="47" t="n"/>
    </row>
    <row r="51">
      <c r="B51" s="45" t="n"/>
      <c r="C51" s="47" t="n"/>
    </row>
    <row r="52">
      <c r="B52" s="45" t="n"/>
      <c r="C52" s="47" t="n"/>
    </row>
    <row r="53">
      <c r="B53" s="45" t="n"/>
      <c r="C53" s="47" t="n"/>
    </row>
    <row r="54">
      <c r="B54" s="45" t="n"/>
      <c r="C54" s="47" t="n"/>
    </row>
    <row r="55">
      <c r="B55" s="45" t="n"/>
      <c r="C55" s="47" t="n"/>
    </row>
    <row r="56">
      <c r="B56" s="45" t="n"/>
      <c r="C56" s="47" t="n"/>
    </row>
    <row r="57">
      <c r="B57" s="45" t="n"/>
      <c r="C57" s="47" t="n"/>
    </row>
    <row r="58">
      <c r="B58" s="45" t="n"/>
      <c r="C58" s="47" t="n"/>
    </row>
    <row r="59">
      <c r="B59" s="45" t="n"/>
      <c r="C59" s="47" t="n"/>
    </row>
    <row r="60">
      <c r="B60" s="45" t="n"/>
      <c r="C60" s="47" t="n"/>
    </row>
    <row r="61">
      <c r="B61" s="45" t="n"/>
      <c r="C61" s="47" t="n"/>
    </row>
    <row r="62">
      <c r="B62" s="45" t="n"/>
      <c r="C62" s="47" t="n"/>
    </row>
    <row r="63">
      <c r="B63" s="45" t="n"/>
      <c r="C63" s="47" t="n"/>
    </row>
    <row r="64">
      <c r="B64" s="45" t="n"/>
      <c r="C64" s="47" t="n"/>
    </row>
    <row r="65">
      <c r="B65" s="45" t="n"/>
      <c r="C65" s="47" t="n"/>
    </row>
    <row r="66">
      <c r="B66" s="45" t="n"/>
      <c r="C66" s="47" t="n"/>
    </row>
    <row r="67">
      <c r="B67" s="45" t="n"/>
      <c r="C67" s="47" t="n"/>
    </row>
    <row r="68">
      <c r="B68" s="45" t="n"/>
      <c r="C68" s="47" t="n"/>
    </row>
    <row r="69">
      <c r="B69" s="45" t="n"/>
      <c r="C69" s="47" t="n"/>
    </row>
    <row r="70">
      <c r="B70" s="45" t="n"/>
      <c r="C70" s="47" t="n"/>
    </row>
    <row r="71">
      <c r="B71" s="45" t="n"/>
      <c r="C71" s="47" t="n"/>
    </row>
    <row r="72">
      <c r="B72" s="45" t="n"/>
      <c r="C72" s="47" t="n"/>
    </row>
    <row r="73">
      <c r="B73" s="45" t="n"/>
      <c r="C73" s="47" t="n"/>
    </row>
    <row r="74">
      <c r="B74" s="45" t="n"/>
      <c r="C74" s="47" t="n"/>
    </row>
    <row r="75">
      <c r="B75" s="45" t="n"/>
      <c r="C75" s="47" t="n"/>
    </row>
    <row r="76">
      <c r="B76" s="45" t="n"/>
      <c r="C76" s="47" t="n"/>
    </row>
    <row r="77">
      <c r="B77" s="45" t="n"/>
      <c r="C77" s="47" t="n"/>
    </row>
    <row r="78">
      <c r="B78" s="45" t="n"/>
      <c r="C78" s="47" t="n"/>
    </row>
    <row r="79">
      <c r="B79" s="45" t="n"/>
      <c r="C79" s="47" t="n"/>
    </row>
    <row r="80">
      <c r="B80" s="45" t="n"/>
      <c r="C80" s="47" t="n"/>
    </row>
    <row r="81">
      <c r="B81" s="45" t="n"/>
      <c r="C81" s="47" t="n"/>
    </row>
    <row r="82">
      <c r="B82" s="45" t="n"/>
      <c r="C82" s="47" t="n"/>
    </row>
    <row r="83">
      <c r="B83" s="45" t="n"/>
      <c r="C83" s="47" t="n"/>
    </row>
    <row r="84">
      <c r="B84" s="45" t="n"/>
      <c r="C84" s="47" t="n"/>
    </row>
    <row r="85">
      <c r="B85" s="45" t="n"/>
      <c r="C85" s="47" t="n"/>
    </row>
    <row r="86">
      <c r="B86" s="45" t="n"/>
      <c r="C86" s="47" t="n"/>
    </row>
    <row r="87">
      <c r="B87" s="45" t="n"/>
      <c r="C87" s="47" t="n"/>
    </row>
    <row r="88">
      <c r="B88" s="45" t="n"/>
      <c r="C88" s="47" t="n"/>
    </row>
    <row r="89">
      <c r="B89" s="45" t="n"/>
      <c r="C89" s="47" t="n"/>
    </row>
    <row r="90">
      <c r="B90" s="45" t="n"/>
      <c r="C90" s="47" t="n"/>
    </row>
    <row r="91">
      <c r="B91" s="45" t="n"/>
      <c r="C91" s="47" t="n"/>
    </row>
    <row r="92">
      <c r="B92" s="45" t="n"/>
      <c r="C92" s="47" t="n"/>
    </row>
    <row r="93">
      <c r="B93" s="45" t="n"/>
      <c r="C93" s="47" t="n"/>
    </row>
    <row r="94">
      <c r="B94" s="45" t="n"/>
      <c r="C94" s="47" t="n"/>
    </row>
    <row r="95">
      <c r="B95" s="45" t="n"/>
      <c r="C95" s="47" t="n"/>
    </row>
    <row r="96">
      <c r="B96" s="45" t="n"/>
      <c r="C96" s="47" t="n"/>
    </row>
    <row r="97">
      <c r="B97" s="45" t="n"/>
      <c r="C97" s="47" t="n"/>
    </row>
    <row r="98">
      <c r="B98" s="45" t="n"/>
      <c r="C98" s="47" t="n"/>
    </row>
    <row r="99">
      <c r="B99" s="45" t="n"/>
      <c r="C99" s="47" t="n"/>
    </row>
    <row r="100">
      <c r="B100" s="45" t="n"/>
      <c r="C100" s="47" t="n"/>
    </row>
  </sheetData>
  <dataValidations count="1">
    <dataValidation sqref="H2:H101" showDropDown="0" showInputMessage="0" showErrorMessage="0" allowBlank="0" type="list">
      <formula1>"Approve,Correct,Reject"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39" t="inlineStr">
        <is>
          <t>GCGW PAYMENT MANAGEMENT DASHBOARD</t>
        </is>
      </c>
      <c r="B1" s="1" t="n"/>
      <c r="C1" s="1" t="n"/>
      <c r="D1" s="1" t="n"/>
      <c r="E1" s="1" t="n"/>
      <c r="F1" s="1" t="n"/>
      <c r="G1" s="1" t="n"/>
      <c r="H1" s="1" t="n"/>
      <c r="I1" s="35" t="n"/>
      <c r="J1" s="35" t="n"/>
      <c r="K1" s="35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32" t="inlineStr">
        <is>
          <t>Metric</t>
        </is>
      </c>
      <c r="B4" s="32" t="inlineStr">
        <is>
          <t>Value</t>
        </is>
      </c>
      <c r="D4" s="32" t="inlineStr">
        <is>
          <t>Project</t>
        </is>
      </c>
      <c r="E4" s="32" t="inlineStr">
        <is>
          <t>Payments</t>
        </is>
      </c>
      <c r="F4" s="32" t="inlineStr">
        <is>
          <t>Total Paid (₹)</t>
        </is>
      </c>
    </row>
    <row r="5">
      <c r="A5" t="inlineStr">
        <is>
          <t>Total Approved Payments</t>
        </is>
      </c>
      <c r="B5">
        <f>COUNTIF('All Payments'!$N$2:$N$501,"Approved")</f>
        <v/>
      </c>
      <c r="D5" t="inlineStr">
        <is>
          <t>Project A</t>
        </is>
      </c>
      <c r="E5">
        <f>COUNTIFS('All Payments'!$F$2:$F$501,D5,'All Payments'!$N$2:$N$501,"Approved")</f>
        <v/>
      </c>
      <c r="F5" s="47">
        <f>SUMIFS('All Payments'!$D$2:$D$501,'All Payments'!$F$2:$F$501,D5,'All Payments'!$N$2:$N$501,"Approved")</f>
        <v/>
      </c>
    </row>
    <row r="6">
      <c r="A6" t="inlineStr">
        <is>
          <t>Total Amount Paid</t>
        </is>
      </c>
      <c r="B6" s="47">
        <f>SUMIFS('All Payments'!$D$2:$D$501,'All Payments'!$N$2:$N$501,"Approved")</f>
        <v/>
      </c>
      <c r="D6" t="inlineStr">
        <is>
          <t>Project B</t>
        </is>
      </c>
      <c r="E6">
        <f>COUNTIFS('All Payments'!$F$2:$F$501,D6,'All Payments'!$N$2:$N$501,"Approved")</f>
        <v/>
      </c>
      <c r="F6" s="47">
        <f>SUMIFS('All Payments'!$D$2:$D$501,'All Payments'!$F$2:$F$501,D6,'All Payments'!$N$2:$N$501,"Approved")</f>
        <v/>
      </c>
    </row>
    <row r="7">
      <c r="A7" t="inlineStr">
        <is>
          <t>This Month Paid</t>
        </is>
      </c>
      <c r="B7" s="47">
        <f>SUMIFS('All Payments'!$D$2:$D$501,'All Payments'!$B$2:$B$501,"&gt;="&amp;EOMONTH(TODAY(),-1)+1,'All Payments'!$B$2:$B$501,"&lt;="&amp;EOMONTH(TODAY(),0),'All Payments'!$N$2:$N$501,"Approved")</f>
        <v/>
      </c>
      <c r="D7" t="inlineStr">
        <is>
          <t>Project C</t>
        </is>
      </c>
      <c r="E7">
        <f>COUNTIFS('All Payments'!$F$2:$F$501,D7,'All Payments'!$N$2:$N$501,"Approved")</f>
        <v/>
      </c>
      <c r="F7" s="47">
        <f>SUMIFS('All Payments'!$D$2:$D$501,'All Payments'!$F$2:$F$501,D7,'All Payments'!$N$2:$N$501,"Approved")</f>
        <v/>
      </c>
    </row>
    <row r="8">
      <c r="A8" t="inlineStr">
        <is>
          <t>Today Paid</t>
        </is>
      </c>
      <c r="B8" s="47">
        <f>SUMIFS('All Payments'!$D$2:$D$501,'All Payments'!$B$2:$B$501,TODAY(),'All Payments'!$N$2:$N$501,"Approved")</f>
        <v/>
      </c>
      <c r="D8" t="inlineStr">
        <is>
          <t>General / Office</t>
        </is>
      </c>
      <c r="E8">
        <f>COUNTIFS('All Payments'!$F$2:$F$501,D8,'All Payments'!$N$2:$N$501,"Approved")</f>
        <v/>
      </c>
      <c r="F8" s="47">
        <f>SUMIFS('All Payments'!$D$2:$D$501,'All Payments'!$F$2:$F$501,D8,'All Payments'!$N$2:$N$501,"Approved")</f>
        <v/>
      </c>
    </row>
    <row r="9">
      <c r="A9" t="inlineStr">
        <is>
          <t>Needs Review</t>
        </is>
      </c>
      <c r="B9">
        <f>COUNTIF('All Payments'!$N$2:$N$501,"Needs Review")</f>
        <v/>
      </c>
      <c r="D9" t="inlineStr">
        <is>
          <t>Unassigned</t>
        </is>
      </c>
      <c r="E9">
        <f>COUNTIFS('All Payments'!$F$2:$F$501,D9,'All Payments'!$N$2:$N$501,"Approved")</f>
        <v/>
      </c>
      <c r="F9" s="47">
        <f>SUMIFS('All Payments'!$D$2:$D$501,'All Payments'!$F$2:$F$501,D9,'All Payments'!$N$2:$N$501,"Approved")</f>
        <v/>
      </c>
    </row>
    <row r="10">
      <c r="A10" t="inlineStr">
        <is>
          <t>Possible Duplicates</t>
        </is>
      </c>
      <c r="B10">
        <f>COUNTIF('All Payments'!$N$2:$N$501,"Possible Duplicate")</f>
        <v/>
      </c>
    </row>
    <row r="31">
      <c r="A31" s="51" t="inlineStr">
        <is>
          <t>Agent-ready workbook: future screenshot-processing code should append each approved transaction to 'All Payments'. Daily, monthly, project, category and dashboard totals will update automatically.</t>
        </is>
      </c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H32" s="1" t="n"/>
    </row>
    <row r="33">
      <c r="A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</sheetData>
  <mergeCells count="2">
    <mergeCell ref="A1:H2"/>
    <mergeCell ref="A31:H34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2026-09-06T09:52:27Z</dcterms:created>
  <dcterms:modified xmlns:dcterms="http://purl.org/dc/terms/" xmlns:xsi="http://www.w3.org/2001/XMLSchema-instance" xsi:type="dcterms:W3CDTF">2026-09-06T11:04:22Z</dcterms:modified>
</cp:coreProperties>
</file>